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uavit-my.sharepoint.com/personal/lfontanella_iuav_it/Documents/02_Luca Fontanella_Dottorato 352/19_GitHub/hbim-intervenability-workflows/AdD_Dynamo/IN/"/>
    </mc:Choice>
  </mc:AlternateContent>
  <xr:revisionPtr revIDLastSave="0" documentId="6_{F99BA3AF-4F2A-4277-8B1C-1CFF7AC00F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ERIES" sheetId="1" r:id="rId1"/>
    <sheet name="ELEMENTS" sheetId="2" r:id="rId2"/>
    <sheet name="CONSTRAINTS" sheetId="3" r:id="rId3"/>
    <sheet name="SETTINGS" sheetId="4" r:id="rId4"/>
    <sheet name="SETTINGS_AVAILABILITY" sheetId="5" r:id="rId5"/>
    <sheet name="QUERIES_Dynamo" sheetId="6" r:id="rId6"/>
    <sheet name="ELEMENTS_Dynamo" sheetId="7" r:id="rId7"/>
  </sheets>
  <definedNames>
    <definedName name="Attic_IsAccessible">SETTINGS!$E$2:$E$3</definedName>
    <definedName name="Attic_IsWalkable">SETTINGS!$F$2:$F$3</definedName>
    <definedName name="Bonding">SETTINGS!$H$2:$H$3</definedName>
    <definedName name="Copertura_estradosso_solaio">SETTINGS!$G$2:$G$3</definedName>
    <definedName name="Demolition">SETTINGS!$J$2:$J$3</definedName>
    <definedName name="Element">SETTINGS_AVAILABILITY!$A$2:$A$11</definedName>
    <definedName name="Excavation">SETTINGS!#REF!</definedName>
    <definedName name="Infill">SETTINGS!$K$2:$K$3</definedName>
    <definedName name="Leaning">SETTINGS!$I$2:$I$3</definedName>
    <definedName name="Perforation_Position">SETTINGS!$C$2:$C$5</definedName>
    <definedName name="SurfCov_Level">SETTINGS!$D$2:$D$4</definedName>
    <definedName name="ThroughHole_Position">SETTINGS!$B$2:$B$5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11" i="3" s="1"/>
  <c r="B1" i="5" l="1" a="1"/>
  <c r="A12" i="3"/>
  <c r="A15" i="3"/>
  <c r="A16" i="3"/>
  <c r="A7" i="3"/>
  <c r="A13" i="3"/>
  <c r="A14" i="3"/>
  <c r="A17" i="3"/>
  <c r="A18" i="3"/>
  <c r="A19" i="3"/>
  <c r="A20" i="3"/>
  <c r="A21" i="3"/>
  <c r="A23" i="3"/>
  <c r="A4" i="3"/>
  <c r="A24" i="3"/>
  <c r="A5" i="3"/>
  <c r="A25" i="3"/>
  <c r="A3" i="3"/>
  <c r="A22" i="3"/>
  <c r="A6" i="3"/>
  <c r="A26" i="3"/>
  <c r="A8" i="3"/>
  <c r="A9" i="3"/>
  <c r="A10" i="3"/>
  <c r="Y1" i="5" l="1"/>
  <c r="E1" i="5"/>
  <c r="D1" i="5"/>
  <c r="C1" i="5"/>
  <c r="B1" i="5"/>
  <c r="X1" i="5"/>
  <c r="W1" i="5"/>
  <c r="U1" i="5"/>
  <c r="T1" i="5"/>
  <c r="P1" i="5"/>
  <c r="F1" i="5"/>
  <c r="S1" i="5"/>
  <c r="R1" i="5"/>
  <c r="Q1" i="5"/>
  <c r="O1" i="5"/>
  <c r="G1" i="5"/>
  <c r="N1" i="5"/>
  <c r="M1" i="5"/>
  <c r="L1" i="5"/>
  <c r="K1" i="5"/>
  <c r="J1" i="5"/>
  <c r="I1" i="5"/>
  <c r="H1" i="5"/>
  <c r="V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Revisore</author>
  </authors>
  <commentList>
    <comment ref="A3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 xml:space="preserve">
[1 = Perimetrer; 2 = Center; 3 = Any]</t>
        </r>
      </text>
    </comment>
    <comment ref="A10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[1 = Perimetrer; 2 = Center; 3 = Any]</t>
        </r>
      </text>
    </comment>
    <comment ref="A13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[1 = Partial; 2 = Total]</t>
        </r>
      </text>
    </comment>
  </commentList>
</comments>
</file>

<file path=xl/sharedStrings.xml><?xml version="1.0" encoding="utf-8"?>
<sst xmlns="http://schemas.openxmlformats.org/spreadsheetml/2006/main" count="808" uniqueCount="232">
  <si>
    <t>Code</t>
  </si>
  <si>
    <t>Type</t>
  </si>
  <si>
    <t>ThroughHole_Position</t>
  </si>
  <si>
    <t>ThroughHole_Diameter_Max</t>
  </si>
  <si>
    <t>Opening_Reduction_Height_SuspCeiling_Length_Max</t>
  </si>
  <si>
    <t>Opening_Reduction_Height_RaisedFloor_Length_Max</t>
  </si>
  <si>
    <t>Opening_Reduction_Width_Side_Length_Max</t>
  </si>
  <si>
    <t>Perforation_Depth_Max</t>
  </si>
  <si>
    <t>Perforation_Diameter_Max</t>
  </si>
  <si>
    <t>Perforation_Position</t>
  </si>
  <si>
    <t>Perforation_Length</t>
  </si>
  <si>
    <t>Perforation_Width</t>
  </si>
  <si>
    <t>SurfCov_Level</t>
  </si>
  <si>
    <t>CutOut_Depth_Max</t>
  </si>
  <si>
    <t>CutOut_Width_Max</t>
  </si>
  <si>
    <t>Attic_IsAccessible</t>
  </si>
  <si>
    <t>Attic_IsWalkable</t>
  </si>
  <si>
    <t>AtticFloor_CanBeCovered</t>
  </si>
  <si>
    <t>Bonding</t>
  </si>
  <si>
    <t>Leaning</t>
  </si>
  <si>
    <t>DemolitionOfLayers_Depth_Max</t>
  </si>
  <si>
    <t>Demolition</t>
  </si>
  <si>
    <t>Excavation</t>
  </si>
  <si>
    <t>Infill</t>
  </si>
  <si>
    <t>UseAsADuctSpace_Side_Max</t>
  </si>
  <si>
    <t>UseAsADuctSpace_Side_Min</t>
  </si>
  <si>
    <t>0011bbf1-5035-4a90-8453-8b84c937982e-0009f3e5</t>
  </si>
  <si>
    <t>Controsoffitti</t>
  </si>
  <si>
    <t>0c10b0b3-52a2-4405-954b-8e718441005e-0004b826</t>
  </si>
  <si>
    <t>Finestre</t>
  </si>
  <si>
    <t>160afe49-8c3f-4260-bd31-f6d219ca5a57-000395ea</t>
  </si>
  <si>
    <t>160afe49-8c3f-4260-bd31-f6d219ca5a57-00039664</t>
  </si>
  <si>
    <t>1d5eda9e-47d9-404d-ae8b-b1e779726e6d-0009864c</t>
  </si>
  <si>
    <t>Muri</t>
  </si>
  <si>
    <t>1d5eda9e-47d9-404d-ae8b-b1e779726e6d-0009864d</t>
  </si>
  <si>
    <t>1d5eda9e-47d9-404d-ae8b-b1e779726e6d-0009864e</t>
  </si>
  <si>
    <t>1d5eda9e-47d9-404d-ae8b-b1e779726e6d-0009864f</t>
  </si>
  <si>
    <t>1d5eda9e-47d9-404d-ae8b-b1e779726e6d-00098650</t>
  </si>
  <si>
    <t>1d5eda9e-47d9-404d-ae8b-b1e779726e6d-00098651</t>
  </si>
  <si>
    <t>1d5eda9e-47d9-404d-ae8b-b1e779726e6d-00098652</t>
  </si>
  <si>
    <t>1d5eda9e-47d9-404d-ae8b-b1e779726e6d-00098653</t>
  </si>
  <si>
    <t>1d5eda9e-47d9-404d-ae8b-b1e779726e6d-00098654</t>
  </si>
  <si>
    <t>1d5eda9e-47d9-404d-ae8b-b1e779726e6d-00098655</t>
  </si>
  <si>
    <t>1d5eda9e-47d9-404d-ae8b-b1e779726e6d-00098656</t>
  </si>
  <si>
    <t>1d5eda9e-47d9-404d-ae8b-b1e779726e6d-00098657</t>
  </si>
  <si>
    <t>1f491f8b-2d6a-4f36-abf5-0ebbe5005227-000a6007</t>
  </si>
  <si>
    <t>1f491f8b-2d6a-4f36-abf5-0ebbe5005227-000a6044</t>
  </si>
  <si>
    <t>20add419-8a1d-4ca1-9bcf-25de992ef970-0003a40e</t>
  </si>
  <si>
    <t>20add419-8a1d-4ca1-9bcf-25de992ef970-0003a475</t>
  </si>
  <si>
    <t>227cc853-4076-44d5-9bfb-d5c03b1c35fa-000339dc</t>
  </si>
  <si>
    <t>Pavimenti</t>
  </si>
  <si>
    <t>258d59b5-e867-4a18-a760-db22cc9d0930-000369d5</t>
  </si>
  <si>
    <t>258d59b5-e867-4a18-a760-db22cc9d0930-000373b1</t>
  </si>
  <si>
    <t>3682de72-ad18-4500-aa54-b201880d1167-00037a68</t>
  </si>
  <si>
    <t>3682de72-ad18-4500-aa54-b201880d1167-00037b0f</t>
  </si>
  <si>
    <t>3682de72-ad18-4500-aa54-b201880d1167-00037be6</t>
  </si>
  <si>
    <t>3682de72-ad18-4500-aa54-b201880d1167-00037caf</t>
  </si>
  <si>
    <t>3682de72-ad18-4500-aa54-b201880d1167-00037dce</t>
  </si>
  <si>
    <t>476b9adb-b8a6-40d0-b4b4-2b5f8162c172-000a0e79</t>
  </si>
  <si>
    <t>476b9adb-b8a6-40d0-b4b4-2b5f8162c172-000a0ebf</t>
  </si>
  <si>
    <t>476b9adb-b8a6-40d0-b4b4-2b5f8162c172-000a0ec0</t>
  </si>
  <si>
    <t>476b9adb-b8a6-40d0-b4b4-2b5f8162c172-000a0ec1</t>
  </si>
  <si>
    <t>476b9adb-b8a6-40d0-b4b4-2b5f8162c172-000a0ec2</t>
  </si>
  <si>
    <t>476b9adb-b8a6-40d0-b4b4-2b5f8162c172-000a0ec3</t>
  </si>
  <si>
    <t>476b9adb-b8a6-40d0-b4b4-2b5f8162c172-000a0ec4</t>
  </si>
  <si>
    <t>476b9adb-b8a6-40d0-b4b4-2b5f8162c172-000a0ec7</t>
  </si>
  <si>
    <t>476b9adb-b8a6-40d0-b4b4-2b5f8162c172-000a0ec8</t>
  </si>
  <si>
    <t>476b9adb-b8a6-40d0-b4b4-2b5f8162c172-000a0ec9</t>
  </si>
  <si>
    <t>476b9adb-b8a6-40d0-b4b4-2b5f8162c172-000a0eca</t>
  </si>
  <si>
    <t>476b9adb-b8a6-40d0-b4b4-2b5f8162c172-000a0edc</t>
  </si>
  <si>
    <t>476b9adb-b8a6-40d0-b4b4-2b5f8162c172-000a0ef3</t>
  </si>
  <si>
    <t>476b9adb-b8a6-40d0-b4b4-2b5f8162c172-000a0f01</t>
  </si>
  <si>
    <t>476b9adb-b8a6-40d0-b4b4-2b5f8162c172-000a0f26</t>
  </si>
  <si>
    <t>476b9adb-b8a6-40d0-b4b4-2b5f8162c172-000a0f34</t>
  </si>
  <si>
    <t>476b9adb-b8a6-40d0-b4b4-2b5f8162c172-000a0f43</t>
  </si>
  <si>
    <t>476b9adb-b8a6-40d0-b4b4-2b5f8162c172-000a0f52</t>
  </si>
  <si>
    <t>476b9adb-b8a6-40d0-b4b4-2b5f8162c172-000a0f60</t>
  </si>
  <si>
    <t>476b9adb-b8a6-40d0-b4b4-2b5f8162c172-000a0f6d</t>
  </si>
  <si>
    <t>476b9adb-b8a6-40d0-b4b4-2b5f8162c172-000a0ffe</t>
  </si>
  <si>
    <t>476b9adb-b8a6-40d0-b4b4-2b5f8162c172-000a100c</t>
  </si>
  <si>
    <t>49288cf2-1156-4228-b50d-260ab576f1e1-0009e66b</t>
  </si>
  <si>
    <t>49288cf2-1156-4228-b50d-260ab576f1e1-0009f1b0</t>
  </si>
  <si>
    <t>51c8971a-259f-431f-8fa4-ebfe579281d3-00049bc7</t>
  </si>
  <si>
    <t>51c8971a-259f-431f-8fa4-ebfe579281d3-0004a0b1</t>
  </si>
  <si>
    <t>51c8971a-259f-431f-8fa4-ebfe579281d3-0004a0b2</t>
  </si>
  <si>
    <t>51c8971a-259f-431f-8fa4-ebfe579281d3-0004a11a</t>
  </si>
  <si>
    <t>51c8971a-259f-431f-8fa4-ebfe579281d3-0004a292</t>
  </si>
  <si>
    <t>51c8971a-259f-431f-8fa4-ebfe579281d3-0004a2d4</t>
  </si>
  <si>
    <t>51c8971a-259f-431f-8fa4-ebfe579281d3-0004a60c</t>
  </si>
  <si>
    <t>51c8971a-259f-431f-8fa4-ebfe579281d3-0004a60d</t>
  </si>
  <si>
    <t>51c8971a-259f-431f-8fa4-ebfe579281d3-0004a7bf</t>
  </si>
  <si>
    <t>51c8971a-259f-431f-8fa4-ebfe579281d3-0004b3ce</t>
  </si>
  <si>
    <t>5c70c617-43f4-40c9-bab6-c4f017eacbab-0003af1b</t>
  </si>
  <si>
    <t>5edf92a8-7204-457b-8247-02928385a945-000444ea</t>
  </si>
  <si>
    <t>60e6e20a-cc26-4c4e-8946-3721b69375ef-0007776f</t>
  </si>
  <si>
    <t>60e6e20a-cc26-4c4e-8946-3721b69375ef-000777c4</t>
  </si>
  <si>
    <t>6a7585bd-cdaf-45d6-8af8-836df8bdac0d-0002aa2f</t>
  </si>
  <si>
    <t>6a7585bd-cdaf-45d6-8af8-836df8bdac0d-0002aa66</t>
  </si>
  <si>
    <t>6a7585bd-cdaf-45d6-8af8-836df8bdac0d-0002aab2</t>
  </si>
  <si>
    <t>6aecffaf-68e5-40bf-b8f0-0b4878ff819d-0009d003</t>
  </si>
  <si>
    <t>6aecffaf-68e5-40bf-b8f0-0b4878ff819d-0009d004</t>
  </si>
  <si>
    <t>6aecffaf-68e5-40bf-b8f0-0b4878ff819d-0009d005</t>
  </si>
  <si>
    <t>6aecffaf-68e5-40bf-b8f0-0b4878ff819d-0009d006</t>
  </si>
  <si>
    <t>765bff3f-3b4d-417b-aea2-b852743ffcb1-0004c78f</t>
  </si>
  <si>
    <t>765bff3f-3b4d-417b-aea2-b852743ffcb1-0004c79e</t>
  </si>
  <si>
    <t>765bff3f-3b4d-417b-aea2-b852743ffcb1-0004c7ad</t>
  </si>
  <si>
    <t>7779219a-c10c-410f-b74a-29cd992043a9-0005da18</t>
  </si>
  <si>
    <t>7779219a-c10c-410f-b74a-29cd992043a9-0005e269</t>
  </si>
  <si>
    <t>794c557c-2ffa-4128-8f27-65faf4628a29-0009f4f8</t>
  </si>
  <si>
    <t>7a8df3e2-4d44-4ef1-b626-5a4fa21898bc-000463d2</t>
  </si>
  <si>
    <t>a3f08c91-f4cb-4956-a2f1-230ebcf7a4a3-000a618c</t>
  </si>
  <si>
    <t>a3f08c91-f4cb-4956-a2f1-230ebcf7a4a3-000a6945</t>
  </si>
  <si>
    <t>a3f08c91-f4cb-4956-a2f1-230ebcf7a4a3-000a694a</t>
  </si>
  <si>
    <t>a3f08c91-f4cb-4956-a2f1-230ebcf7a4a3-000a6957</t>
  </si>
  <si>
    <t>a3f08c91-f4cb-4956-a2f1-230ebcf7a4a3-000a6967</t>
  </si>
  <si>
    <t>a3f08c91-f4cb-4956-a2f1-230ebcf7a4a3-000a8b1b</t>
  </si>
  <si>
    <t>ac276bb6-a9fb-4f2b-830f-46f91b5f58b6-00031816</t>
  </si>
  <si>
    <t>Porte</t>
  </si>
  <si>
    <t>b0175c60-9ec1-4f71-a74d-a567af78b32f-0009bac9</t>
  </si>
  <si>
    <t>b0175c60-9ec1-4f71-a74d-a567af78b32f-0009baca</t>
  </si>
  <si>
    <t>b0175c60-9ec1-4f71-a74d-a567af78b32f-0009bacb</t>
  </si>
  <si>
    <t>b0175c60-9ec1-4f71-a74d-a567af78b32f-0009bacc</t>
  </si>
  <si>
    <t>b0175c60-9ec1-4f71-a74d-a567af78b32f-0009bacd</t>
  </si>
  <si>
    <t>b0175c60-9ec1-4f71-a74d-a567af78b32f-0009bace</t>
  </si>
  <si>
    <t>b3f040a3-d3e5-45ed-a0e3-8ad4a3297e23-00057f5a</t>
  </si>
  <si>
    <t>b9448885-3784-45ad-bba2-6924c1648550-0004c58b</t>
  </si>
  <si>
    <t>b9448885-3784-45ad-bba2-6924c1648550-0004c5be</t>
  </si>
  <si>
    <t>bb49d8d7-3856-4959-bf16-5448d48b18de-00047137</t>
  </si>
  <si>
    <t>ca186ed1-a88c-49e8-928e-d0a0327f0b3b-0003537a</t>
  </si>
  <si>
    <t>ca186ed1-a88c-49e8-928e-d0a0327f0b3b-00035757</t>
  </si>
  <si>
    <t>dcb08d27-8bc5-46d6-ba83-5b3187297a37-0003694d</t>
  </si>
  <si>
    <t>df28400d-bbaa-4b2b-a9d8-c20102c491d6-0009f8ae</t>
  </si>
  <si>
    <t>df28400d-bbaa-4b2b-a9d8-c20102c491d6-0009f919</t>
  </si>
  <si>
    <t>df28400d-bbaa-4b2b-a9d8-c20102c491d6-0009fdbf</t>
  </si>
  <si>
    <t>df28400d-bbaa-4b2b-a9d8-c20102c491d6-000a0165</t>
  </si>
  <si>
    <t>df28400d-bbaa-4b2b-a9d8-c20102c491d6-000a039e</t>
  </si>
  <si>
    <t>df28400d-bbaa-4b2b-a9d8-c20102c491d6-000a0525</t>
  </si>
  <si>
    <t>df28400d-bbaa-4b2b-a9d8-c20102c491d6-000a0867</t>
  </si>
  <si>
    <t>df28400d-bbaa-4b2b-a9d8-c20102c491d6-000a0996</t>
  </si>
  <si>
    <t>df28400d-bbaa-4b2b-a9d8-c20102c491d6-000a0bd3</t>
  </si>
  <si>
    <t>df28400d-bbaa-4b2b-a9d8-c20102c491d6-000a0bf7</t>
  </si>
  <si>
    <t>df28400d-bbaa-4b2b-a9d8-c20102c491d6-000a0e6d</t>
  </si>
  <si>
    <t>e078c927-dd3b-4c59-b3e8-68ef47a977b9-00076732</t>
  </si>
  <si>
    <t>e3d1a073-6259-4234-8b9d-3cd50072d474-0009e213</t>
  </si>
  <si>
    <t>e3d1a073-6259-4234-8b9d-3cd50072d474-0009e49f</t>
  </si>
  <si>
    <t>e93defa3-594e-4a77-94fc-8c05e6a03f4a-0002f9a8</t>
  </si>
  <si>
    <t>ec94ede7-1021-4066-84d7-8b7ca2e612e5-0009f2a8</t>
  </si>
  <si>
    <t>ec94ede7-1021-4066-84d7-8b7ca2e612e5-0009f3c0</t>
  </si>
  <si>
    <t>f687bf57-0123-4618-a0a9-4c1dfed2e87a-0008647b</t>
  </si>
  <si>
    <t>f9e7ca70-35f8-4d36-818d-6ba30262ec5c-000473d3</t>
  </si>
  <si>
    <t>nQuery</t>
  </si>
  <si>
    <t>IN[1]</t>
  </si>
  <si>
    <t>IN[2]</t>
  </si>
  <si>
    <t>IN[3]</t>
  </si>
  <si>
    <t>IN[4]</t>
  </si>
  <si>
    <t>IN[5]</t>
  </si>
  <si>
    <t>F</t>
  </si>
  <si>
    <t>Surface:Floor:InnerSide</t>
  </si>
  <si>
    <t>PERIMETER</t>
  </si>
  <si>
    <t>TOTAL</t>
  </si>
  <si>
    <t>TRUE</t>
  </si>
  <si>
    <t>FALSE</t>
  </si>
  <si>
    <t>N</t>
  </si>
  <si>
    <t>Surface:Wall:InnerSide</t>
  </si>
  <si>
    <t>PARTIAL</t>
  </si>
  <si>
    <t>E</t>
  </si>
  <si>
    <t>Surface:Ceiling:InnerSide</t>
  </si>
  <si>
    <t>S</t>
  </si>
  <si>
    <t>Surface:Roof:OuterSide</t>
  </si>
  <si>
    <t>W</t>
  </si>
  <si>
    <t>Surface:Floor:OuterSide</t>
  </si>
  <si>
    <t>R</t>
  </si>
  <si>
    <t>Surface:Wall:OuterSide</t>
  </si>
  <si>
    <t>Door01</t>
  </si>
  <si>
    <t>Surface:Ceiling:OuterSide</t>
  </si>
  <si>
    <t>Door/Window</t>
  </si>
  <si>
    <t>Shaft</t>
  </si>
  <si>
    <t>Parameter</t>
  </si>
  <si>
    <t>Scavo</t>
  </si>
  <si>
    <t>Demolizione</t>
  </si>
  <si>
    <t>Demolizione di strati</t>
  </si>
  <si>
    <t>Posa – In controsoffittatura</t>
  </si>
  <si>
    <t>Posa – In controparete</t>
  </si>
  <si>
    <t>Isolamento – Lato interno – Su soffitto</t>
  </si>
  <si>
    <t>Isolamento – Lato interno – Su parete</t>
  </si>
  <si>
    <t>Isolamento – A cappotto</t>
  </si>
  <si>
    <t>Posa – In traccia - Tubi</t>
  </si>
  <si>
    <t>Posa – In traccia - Cavi</t>
  </si>
  <si>
    <t>Posa - Aggancio - Tubi</t>
  </si>
  <si>
    <t>Posa - Aggancio - Cavi</t>
  </si>
  <si>
    <t>Posa - Aggancio - Condotti</t>
  </si>
  <si>
    <t>Installazione di terminali d’impianto</t>
  </si>
  <si>
    <t>Passaggio con foro - Tubi</t>
  </si>
  <si>
    <t>Passaggio con foro - Cavi</t>
  </si>
  <si>
    <t>Passaggio con foro - Condotti</t>
  </si>
  <si>
    <t>Isolamento - Insufflaggio</t>
  </si>
  <si>
    <t>Passaggio per restringimento finestra/porta – Controsoffittatura/Pavimento rialzato - Tubi</t>
  </si>
  <si>
    <t>Passaggio per restringimento finestra/porta – Controsoffittatura/Pavimento rialzato - Cavi</t>
  </si>
  <si>
    <t>Passaggio per restringimento finestra/porta – Controsoffittatura/Pavimento rialzato - Condotti</t>
  </si>
  <si>
    <t>Appoggio</t>
  </si>
  <si>
    <t>Tamponamento (porte/finestre)</t>
  </si>
  <si>
    <t>Riutilizzo come cavedio</t>
  </si>
  <si>
    <t>Isolamento – In sottotetto</t>
  </si>
  <si>
    <t>Invasivity</t>
  </si>
  <si>
    <t>&gt;0</t>
  </si>
  <si>
    <t>&gt;=in1 + 0.03</t>
  </si>
  <si>
    <t>&gt;=in1 + 0.01</t>
  </si>
  <si>
    <t>&gt;=max(in2,in3) + 0.02</t>
  </si>
  <si>
    <t>&gt;=0.04</t>
  </si>
  <si>
    <t>&gt;=min(in2,in3) + 0.02</t>
  </si>
  <si>
    <t>&gt;=0.02</t>
  </si>
  <si>
    <t>&gt;=0.08</t>
  </si>
  <si>
    <t>&gt;=0.2</t>
  </si>
  <si>
    <t>&gt;=0.01</t>
  </si>
  <si>
    <t>&gt;=0.004</t>
  </si>
  <si>
    <t>==3</t>
  </si>
  <si>
    <t>&lt;=3</t>
  </si>
  <si>
    <t>==1</t>
  </si>
  <si>
    <t>!=2</t>
  </si>
  <si>
    <t>&gt;=in4</t>
  </si>
  <si>
    <t>==2</t>
  </si>
  <si>
    <t>&gt;=0.15</t>
  </si>
  <si>
    <t>&gt;=0.4</t>
  </si>
  <si>
    <t>==0.1</t>
  </si>
  <si>
    <t>&lt;=2</t>
  </si>
  <si>
    <t>&gt;=in2</t>
  </si>
  <si>
    <t>&gt;=in3</t>
  </si>
  <si>
    <t>Value</t>
  </si>
  <si>
    <t>NO</t>
  </si>
  <si>
    <t>CENTER</t>
  </si>
  <si>
    <t>ANY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</si>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</sst>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8"/>
      <color theme="1"/>
      <name val="Aptos"/>
      <family val="2"/>
    </font>
    <font>
      <b/>
      <sz val="8"/>
      <color theme="1"/>
      <name val="Aptos Narrow"/>
      <family val="2"/>
      <scheme val="minor"/>
    </font>
    <font>
      <b/>
      <sz val="8"/>
      <color rgb="FF0070C0"/>
      <name val="Aptos"/>
      <family val="2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textRotation="90"/>
    </xf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textRotation="90"/>
    </xf>
    <xf numFmtId="0" fontId="2" fillId="2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textRotation="90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5" xfId="0" applyFont="1" applyFill="1" applyBorder="1"/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15" zoomScaleNormal="115" workbookViewId="0">
      <selection activeCell="F1" sqref="F1"/>
    </sheetView>
  </sheetViews>
  <sheetFormatPr defaultColWidth="8.85546875" defaultRowHeight="15" x14ac:dyDescent="0.25"/>
  <cols>
    <col min="1" max="9" width="8.85546875" style="1" customWidth="1"/>
    <col min="10" max="16384" width="8.85546875" style="1"/>
  </cols>
  <sheetData>
    <row r="1" spans="1:6" ht="15.75" customHeight="1" thickBot="1" x14ac:dyDescent="0.3">
      <c r="A1" s="26" t="s">
        <v>150</v>
      </c>
      <c r="B1" s="27" t="s">
        <v>151</v>
      </c>
      <c r="C1" s="27" t="s">
        <v>152</v>
      </c>
      <c r="D1" s="27" t="s">
        <v>153</v>
      </c>
      <c r="E1" s="27" t="s">
        <v>154</v>
      </c>
      <c r="F1" s="27" t="s">
        <v>155</v>
      </c>
    </row>
    <row r="2" spans="1:6" ht="15.75" customHeight="1" thickTop="1" x14ac:dyDescent="0.25">
      <c r="A2" s="28">
        <v>1</v>
      </c>
      <c r="B2" s="29">
        <v>0.02</v>
      </c>
      <c r="C2" s="29">
        <v>0.2</v>
      </c>
      <c r="D2" s="29">
        <v>0.6</v>
      </c>
      <c r="E2" s="29">
        <v>0.05</v>
      </c>
      <c r="F2" s="29">
        <v>0</v>
      </c>
    </row>
    <row r="3" spans="1:6" x14ac:dyDescent="0.25">
      <c r="A3" s="30"/>
      <c r="B3" s="31"/>
      <c r="C3" s="31"/>
      <c r="D3" s="31"/>
      <c r="E3" s="31"/>
      <c r="F3" s="31"/>
    </row>
    <row r="4" spans="1:6" x14ac:dyDescent="0.25">
      <c r="A4" s="32"/>
      <c r="B4" s="33"/>
      <c r="C4" s="33"/>
      <c r="D4" s="33"/>
      <c r="E4" s="33"/>
      <c r="F4" s="33"/>
    </row>
    <row r="5" spans="1:6" x14ac:dyDescent="0.25">
      <c r="A5" s="30"/>
      <c r="B5" s="31"/>
      <c r="C5" s="31"/>
      <c r="D5" s="31"/>
      <c r="E5" s="31"/>
      <c r="F5" s="31"/>
    </row>
    <row r="6" spans="1:6" x14ac:dyDescent="0.25">
      <c r="A6" s="32"/>
      <c r="B6" s="33"/>
      <c r="C6" s="33"/>
      <c r="D6" s="33"/>
      <c r="E6" s="33"/>
      <c r="F6" s="33"/>
    </row>
    <row r="7" spans="1:6" x14ac:dyDescent="0.25">
      <c r="A7" s="30"/>
      <c r="B7" s="31"/>
      <c r="C7" s="31"/>
      <c r="D7" s="31"/>
      <c r="E7" s="31"/>
      <c r="F7" s="31"/>
    </row>
    <row r="8" spans="1:6" x14ac:dyDescent="0.25">
      <c r="A8" s="32"/>
      <c r="B8" s="33"/>
      <c r="C8" s="33"/>
      <c r="D8" s="33"/>
      <c r="E8" s="33"/>
      <c r="F8" s="33"/>
    </row>
    <row r="9" spans="1:6" x14ac:dyDescent="0.25">
      <c r="A9" s="30"/>
      <c r="B9" s="31"/>
      <c r="C9" s="31"/>
      <c r="D9" s="31"/>
      <c r="E9" s="31"/>
      <c r="F9" s="31"/>
    </row>
    <row r="10" spans="1:6" x14ac:dyDescent="0.25">
      <c r="A10" s="32"/>
      <c r="B10" s="33"/>
      <c r="C10" s="33"/>
      <c r="D10" s="33"/>
      <c r="E10" s="33"/>
      <c r="F10" s="33"/>
    </row>
    <row r="11" spans="1:6" x14ac:dyDescent="0.25">
      <c r="A11" s="30"/>
      <c r="B11" s="31"/>
      <c r="C11" s="31"/>
      <c r="D11" s="31"/>
      <c r="E11" s="31"/>
      <c r="F11" s="31"/>
    </row>
    <row r="12" spans="1:6" x14ac:dyDescent="0.25">
      <c r="A12" s="32"/>
      <c r="B12" s="33"/>
      <c r="C12" s="33"/>
      <c r="D12" s="33"/>
      <c r="E12" s="33"/>
      <c r="F12" s="33"/>
    </row>
    <row r="13" spans="1:6" x14ac:dyDescent="0.25">
      <c r="A13" s="30"/>
      <c r="B13" s="31"/>
      <c r="C13" s="31"/>
      <c r="D13" s="31"/>
      <c r="E13" s="31"/>
      <c r="F13" s="31"/>
    </row>
    <row r="14" spans="1:6" x14ac:dyDescent="0.25">
      <c r="A14" s="32"/>
      <c r="B14" s="33"/>
      <c r="C14" s="33"/>
      <c r="D14" s="33"/>
      <c r="E14" s="33"/>
      <c r="F14" s="33"/>
    </row>
    <row r="15" spans="1:6" x14ac:dyDescent="0.25">
      <c r="A15" s="30"/>
      <c r="B15" s="31"/>
      <c r="C15" s="31"/>
      <c r="D15" s="31"/>
      <c r="E15" s="31"/>
      <c r="F15" s="31"/>
    </row>
    <row r="16" spans="1:6" x14ac:dyDescent="0.25">
      <c r="A16" s="32"/>
      <c r="B16" s="33"/>
      <c r="C16" s="33"/>
      <c r="D16" s="33"/>
      <c r="E16" s="33"/>
      <c r="F16" s="33"/>
    </row>
    <row r="17" spans="1:6" x14ac:dyDescent="0.25">
      <c r="A17" s="30"/>
      <c r="B17" s="31"/>
      <c r="C17" s="31"/>
      <c r="D17" s="31"/>
      <c r="E17" s="31"/>
      <c r="F17" s="31"/>
    </row>
    <row r="18" spans="1:6" x14ac:dyDescent="0.25">
      <c r="A18" s="32"/>
      <c r="B18" s="33"/>
      <c r="C18" s="33"/>
      <c r="D18" s="33"/>
      <c r="E18" s="33"/>
      <c r="F18" s="33"/>
    </row>
    <row r="19" spans="1:6" x14ac:dyDescent="0.25">
      <c r="A19" s="30"/>
      <c r="B19" s="31"/>
      <c r="C19" s="31"/>
      <c r="D19" s="31"/>
      <c r="E19" s="31"/>
      <c r="F19" s="31"/>
    </row>
    <row r="20" spans="1:6" x14ac:dyDescent="0.25">
      <c r="A20" s="32"/>
      <c r="B20" s="33"/>
      <c r="C20" s="33"/>
      <c r="D20" s="33"/>
      <c r="E20" s="33"/>
      <c r="F20" s="33"/>
    </row>
    <row r="21" spans="1:6" x14ac:dyDescent="0.25">
      <c r="A21" s="30"/>
      <c r="B21" s="31"/>
      <c r="C21" s="31"/>
      <c r="D21" s="31"/>
      <c r="E21" s="31"/>
      <c r="F21" s="31"/>
    </row>
    <row r="22" spans="1:6" x14ac:dyDescent="0.25">
      <c r="A22" s="32"/>
      <c r="B22" s="33"/>
      <c r="C22" s="33"/>
      <c r="D22" s="33"/>
      <c r="E22" s="33"/>
      <c r="F22" s="33"/>
    </row>
    <row r="23" spans="1:6" x14ac:dyDescent="0.25">
      <c r="A23" s="30"/>
      <c r="B23" s="31"/>
      <c r="C23" s="31"/>
      <c r="D23" s="31"/>
      <c r="E23" s="31"/>
      <c r="F23" s="31"/>
    </row>
    <row r="24" spans="1:6" x14ac:dyDescent="0.25">
      <c r="A24" s="32"/>
      <c r="B24" s="33"/>
      <c r="C24" s="33"/>
      <c r="D24" s="33"/>
      <c r="E24" s="33"/>
      <c r="F24" s="33"/>
    </row>
    <row r="25" spans="1:6" x14ac:dyDescent="0.25">
      <c r="A25" s="30"/>
      <c r="B25" s="31"/>
      <c r="C25" s="31"/>
      <c r="D25" s="31"/>
      <c r="E25" s="31"/>
      <c r="F25" s="31"/>
    </row>
    <row r="26" spans="1:6" x14ac:dyDescent="0.25">
      <c r="A26" s="32"/>
      <c r="B26" s="33"/>
      <c r="C26" s="33"/>
      <c r="D26" s="33"/>
      <c r="E26" s="33"/>
      <c r="F26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"/>
  <sheetViews>
    <sheetView tabSelected="1" topLeftCell="A5" zoomScale="85" zoomScaleNormal="85" workbookViewId="0">
      <selection activeCell="M3" sqref="M3"/>
    </sheetView>
  </sheetViews>
  <sheetFormatPr defaultColWidth="8.85546875" defaultRowHeight="15" x14ac:dyDescent="0.25"/>
  <cols>
    <col min="1" max="1" width="8" style="5" bestFit="1" customWidth="1"/>
    <col min="2" max="2" width="16.7109375" style="5" customWidth="1"/>
    <col min="3" max="3" width="10.28515625" style="5" bestFit="1" customWidth="1"/>
    <col min="4" max="4" width="6.28515625" style="5" customWidth="1"/>
    <col min="5" max="5" width="7.42578125" style="5" customWidth="1"/>
    <col min="6" max="6" width="6.28515625" style="5" customWidth="1"/>
    <col min="7" max="7" width="6.85546875" style="5" customWidth="1"/>
    <col min="8" max="8" width="6.42578125" style="5" customWidth="1"/>
    <col min="9" max="9" width="7" style="5" customWidth="1"/>
    <col min="10" max="10" width="14.28515625" style="5" bestFit="1" customWidth="1"/>
    <col min="11" max="11" width="6.7109375" style="5" customWidth="1"/>
    <col min="12" max="12" width="7" style="5" customWidth="1"/>
    <col min="13" max="13" width="8" style="5" bestFit="1" customWidth="1"/>
    <col min="14" max="14" width="6.7109375" style="5" customWidth="1"/>
    <col min="15" max="15" width="6.28515625" style="5" customWidth="1"/>
    <col min="16" max="26" width="8" style="5" bestFit="1" customWidth="1"/>
    <col min="27" max="35" width="8.85546875" style="5" customWidth="1"/>
    <col min="36" max="16384" width="8.85546875" style="5"/>
  </cols>
  <sheetData>
    <row r="1" spans="1:26" s="4" customFormat="1" ht="246" customHeight="1" thickBo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</row>
    <row r="2" spans="1:26" x14ac:dyDescent="0.25">
      <c r="A2" s="20" t="s">
        <v>156</v>
      </c>
      <c r="B2" s="20" t="s">
        <v>157</v>
      </c>
      <c r="C2" s="21" t="s">
        <v>158</v>
      </c>
      <c r="D2" s="20">
        <v>0.09</v>
      </c>
      <c r="E2" s="20">
        <v>0.2</v>
      </c>
      <c r="F2" s="20">
        <v>0.2</v>
      </c>
      <c r="G2" s="20">
        <v>0.1</v>
      </c>
      <c r="H2" s="20">
        <v>0.05</v>
      </c>
      <c r="I2" s="20">
        <v>0.01</v>
      </c>
      <c r="J2" s="21" t="s">
        <v>158</v>
      </c>
      <c r="K2" s="20">
        <v>1</v>
      </c>
      <c r="L2" s="20">
        <v>0.05</v>
      </c>
      <c r="M2" s="21" t="s">
        <v>159</v>
      </c>
      <c r="N2" s="20">
        <v>0.1</v>
      </c>
      <c r="O2" s="20">
        <v>0.2</v>
      </c>
      <c r="P2" s="21" t="s">
        <v>160</v>
      </c>
      <c r="Q2" s="21" t="s">
        <v>161</v>
      </c>
      <c r="R2" s="21" t="s">
        <v>160</v>
      </c>
      <c r="S2" s="21" t="s">
        <v>160</v>
      </c>
      <c r="T2" s="21" t="s">
        <v>160</v>
      </c>
      <c r="U2" s="20">
        <v>0.1</v>
      </c>
      <c r="V2" s="21" t="s">
        <v>160</v>
      </c>
      <c r="W2" s="21" t="s">
        <v>160</v>
      </c>
      <c r="X2" s="21" t="s">
        <v>160</v>
      </c>
      <c r="Y2" s="20">
        <v>0.5</v>
      </c>
      <c r="Z2" s="20">
        <v>0.5</v>
      </c>
    </row>
    <row r="3" spans="1:26" x14ac:dyDescent="0.25">
      <c r="A3" s="2" t="s">
        <v>162</v>
      </c>
      <c r="B3" s="2" t="s">
        <v>163</v>
      </c>
      <c r="C3" s="3" t="s">
        <v>158</v>
      </c>
      <c r="D3" s="2">
        <v>0.9</v>
      </c>
      <c r="E3" s="2">
        <v>0</v>
      </c>
      <c r="F3" s="2">
        <v>0</v>
      </c>
      <c r="G3" s="2">
        <v>0</v>
      </c>
      <c r="H3" s="2">
        <v>0.1</v>
      </c>
      <c r="I3" s="2">
        <v>0</v>
      </c>
      <c r="J3" s="3" t="s">
        <v>158</v>
      </c>
      <c r="K3" s="2">
        <v>0.1</v>
      </c>
      <c r="L3" s="2">
        <v>0.2</v>
      </c>
      <c r="M3" s="3" t="s">
        <v>164</v>
      </c>
      <c r="N3" s="2">
        <v>0.1</v>
      </c>
      <c r="O3" s="2">
        <v>0.2</v>
      </c>
      <c r="P3" s="3" t="s">
        <v>160</v>
      </c>
      <c r="Q3" s="3" t="s">
        <v>161</v>
      </c>
      <c r="R3" s="3" t="s">
        <v>160</v>
      </c>
      <c r="S3" s="3" t="s">
        <v>160</v>
      </c>
      <c r="T3" s="3" t="s">
        <v>160</v>
      </c>
      <c r="U3" s="2">
        <v>0.1</v>
      </c>
      <c r="V3" s="3" t="s">
        <v>160</v>
      </c>
      <c r="W3" s="3" t="s">
        <v>160</v>
      </c>
      <c r="X3" s="3" t="s">
        <v>160</v>
      </c>
      <c r="Y3" s="2">
        <v>0.5</v>
      </c>
      <c r="Z3" s="2">
        <v>0.5</v>
      </c>
    </row>
    <row r="4" spans="1:26" x14ac:dyDescent="0.25">
      <c r="A4" s="22" t="s">
        <v>165</v>
      </c>
      <c r="B4" s="22" t="s">
        <v>166</v>
      </c>
      <c r="C4" s="23" t="s">
        <v>158</v>
      </c>
      <c r="D4" s="22">
        <v>0.9</v>
      </c>
      <c r="E4" s="22">
        <v>0</v>
      </c>
      <c r="F4" s="22">
        <v>0</v>
      </c>
      <c r="G4" s="22">
        <v>0</v>
      </c>
      <c r="H4" s="22">
        <v>0.1</v>
      </c>
      <c r="I4" s="22">
        <v>0</v>
      </c>
      <c r="J4" s="23" t="s">
        <v>158</v>
      </c>
      <c r="K4" s="22">
        <v>0.1</v>
      </c>
      <c r="L4" s="22">
        <v>0.2</v>
      </c>
      <c r="M4" s="23" t="s">
        <v>164</v>
      </c>
      <c r="N4" s="22">
        <v>0.1</v>
      </c>
      <c r="O4" s="22">
        <v>0.2</v>
      </c>
      <c r="P4" s="23" t="s">
        <v>160</v>
      </c>
      <c r="Q4" s="23" t="s">
        <v>161</v>
      </c>
      <c r="R4" s="23" t="s">
        <v>160</v>
      </c>
      <c r="S4" s="23" t="s">
        <v>160</v>
      </c>
      <c r="T4" s="23" t="s">
        <v>160</v>
      </c>
      <c r="U4" s="22">
        <v>1.1000000000000001</v>
      </c>
      <c r="V4" s="23" t="s">
        <v>160</v>
      </c>
      <c r="W4" s="23" t="s">
        <v>160</v>
      </c>
      <c r="X4" s="23" t="s">
        <v>160</v>
      </c>
      <c r="Y4" s="22">
        <v>0.5</v>
      </c>
      <c r="Z4" s="22">
        <v>0.5</v>
      </c>
    </row>
    <row r="5" spans="1:26" x14ac:dyDescent="0.25">
      <c r="A5" s="2" t="s">
        <v>167</v>
      </c>
      <c r="B5" s="2" t="s">
        <v>168</v>
      </c>
      <c r="C5" s="3" t="s">
        <v>158</v>
      </c>
      <c r="D5" s="2">
        <v>0.9</v>
      </c>
      <c r="E5" s="2">
        <v>0</v>
      </c>
      <c r="F5" s="2">
        <v>0</v>
      </c>
      <c r="G5" s="2">
        <v>0</v>
      </c>
      <c r="H5" s="2">
        <v>0.1</v>
      </c>
      <c r="I5" s="2">
        <v>0</v>
      </c>
      <c r="J5" s="3" t="s">
        <v>158</v>
      </c>
      <c r="K5" s="2">
        <v>0.1</v>
      </c>
      <c r="L5" s="2">
        <v>0.2</v>
      </c>
      <c r="M5" s="3" t="s">
        <v>164</v>
      </c>
      <c r="N5" s="2">
        <v>0.1</v>
      </c>
      <c r="O5" s="2">
        <v>0.2</v>
      </c>
      <c r="P5" s="3" t="s">
        <v>160</v>
      </c>
      <c r="Q5" s="3" t="s">
        <v>161</v>
      </c>
      <c r="R5" s="3" t="s">
        <v>160</v>
      </c>
      <c r="S5" s="3" t="s">
        <v>160</v>
      </c>
      <c r="T5" s="3" t="s">
        <v>160</v>
      </c>
      <c r="U5" s="2">
        <v>2.1</v>
      </c>
      <c r="V5" s="3" t="s">
        <v>160</v>
      </c>
      <c r="W5" s="3" t="s">
        <v>160</v>
      </c>
      <c r="X5" s="3" t="s">
        <v>160</v>
      </c>
      <c r="Y5" s="2">
        <v>0.5</v>
      </c>
      <c r="Z5" s="2">
        <v>0.5</v>
      </c>
    </row>
    <row r="6" spans="1:26" x14ac:dyDescent="0.25">
      <c r="A6" s="22" t="s">
        <v>169</v>
      </c>
      <c r="B6" s="22" t="s">
        <v>170</v>
      </c>
      <c r="C6" s="23" t="s">
        <v>158</v>
      </c>
      <c r="D6" s="22">
        <v>0.9</v>
      </c>
      <c r="E6" s="22">
        <v>0</v>
      </c>
      <c r="F6" s="22">
        <v>0</v>
      </c>
      <c r="G6" s="22">
        <v>0</v>
      </c>
      <c r="H6" s="22">
        <v>0.1</v>
      </c>
      <c r="I6" s="22">
        <v>0</v>
      </c>
      <c r="J6" s="23" t="s">
        <v>158</v>
      </c>
      <c r="K6" s="22">
        <v>0.1</v>
      </c>
      <c r="L6" s="22">
        <v>0.2</v>
      </c>
      <c r="M6" s="23" t="s">
        <v>164</v>
      </c>
      <c r="N6" s="22">
        <v>0.1</v>
      </c>
      <c r="O6" s="22">
        <v>0.2</v>
      </c>
      <c r="P6" s="23" t="s">
        <v>160</v>
      </c>
      <c r="Q6" s="23" t="s">
        <v>161</v>
      </c>
      <c r="R6" s="23" t="s">
        <v>160</v>
      </c>
      <c r="S6" s="23" t="s">
        <v>160</v>
      </c>
      <c r="T6" s="23" t="s">
        <v>160</v>
      </c>
      <c r="U6" s="22">
        <v>3.1</v>
      </c>
      <c r="V6" s="23" t="s">
        <v>160</v>
      </c>
      <c r="W6" s="23" t="s">
        <v>160</v>
      </c>
      <c r="X6" s="23" t="s">
        <v>160</v>
      </c>
      <c r="Y6" s="22">
        <v>0.5</v>
      </c>
      <c r="Z6" s="22">
        <v>0.5</v>
      </c>
    </row>
    <row r="7" spans="1:26" x14ac:dyDescent="0.25">
      <c r="A7" s="2" t="s">
        <v>171</v>
      </c>
      <c r="B7" s="2" t="s">
        <v>172</v>
      </c>
      <c r="C7" s="3" t="s">
        <v>158</v>
      </c>
      <c r="D7" s="2">
        <v>0.9</v>
      </c>
      <c r="E7" s="2">
        <v>0</v>
      </c>
      <c r="F7" s="2">
        <v>0</v>
      </c>
      <c r="G7" s="2">
        <v>0</v>
      </c>
      <c r="H7" s="2">
        <v>0.1</v>
      </c>
      <c r="I7" s="2">
        <v>0</v>
      </c>
      <c r="J7" s="3" t="s">
        <v>158</v>
      </c>
      <c r="K7" s="2">
        <v>0.1</v>
      </c>
      <c r="L7" s="2">
        <v>0.2</v>
      </c>
      <c r="M7" s="3" t="s">
        <v>164</v>
      </c>
      <c r="N7" s="2">
        <v>0.1</v>
      </c>
      <c r="O7" s="2">
        <v>0.2</v>
      </c>
      <c r="P7" s="3" t="s">
        <v>160</v>
      </c>
      <c r="Q7" s="3" t="s">
        <v>161</v>
      </c>
      <c r="R7" s="3" t="s">
        <v>160</v>
      </c>
      <c r="S7" s="3" t="s">
        <v>160</v>
      </c>
      <c r="T7" s="3" t="s">
        <v>160</v>
      </c>
      <c r="U7" s="2">
        <v>4.0999999999999996</v>
      </c>
      <c r="V7" s="3" t="s">
        <v>160</v>
      </c>
      <c r="W7" s="3" t="s">
        <v>160</v>
      </c>
      <c r="X7" s="3" t="s">
        <v>160</v>
      </c>
      <c r="Y7" s="2">
        <v>0.5</v>
      </c>
      <c r="Z7" s="2">
        <v>0.5</v>
      </c>
    </row>
    <row r="8" spans="1:26" x14ac:dyDescent="0.25">
      <c r="A8" s="22" t="s">
        <v>173</v>
      </c>
      <c r="B8" s="22" t="s">
        <v>174</v>
      </c>
      <c r="C8" s="23" t="s">
        <v>158</v>
      </c>
      <c r="D8" s="22">
        <v>0.9</v>
      </c>
      <c r="E8" s="22">
        <v>0</v>
      </c>
      <c r="F8" s="22">
        <v>0</v>
      </c>
      <c r="G8" s="22">
        <v>0</v>
      </c>
      <c r="H8" s="22">
        <v>0.1</v>
      </c>
      <c r="I8" s="22">
        <v>0</v>
      </c>
      <c r="J8" s="23" t="s">
        <v>158</v>
      </c>
      <c r="K8" s="22">
        <v>0.1</v>
      </c>
      <c r="L8" s="22">
        <v>0.2</v>
      </c>
      <c r="M8" s="23" t="s">
        <v>164</v>
      </c>
      <c r="N8" s="22">
        <v>0.1</v>
      </c>
      <c r="O8" s="22">
        <v>0.2</v>
      </c>
      <c r="P8" s="23" t="s">
        <v>160</v>
      </c>
      <c r="Q8" s="23" t="s">
        <v>161</v>
      </c>
      <c r="R8" s="23" t="s">
        <v>160</v>
      </c>
      <c r="S8" s="23" t="s">
        <v>160</v>
      </c>
      <c r="T8" s="23" t="s">
        <v>160</v>
      </c>
      <c r="U8" s="22">
        <v>5.0999999999999996</v>
      </c>
      <c r="V8" s="23" t="s">
        <v>160</v>
      </c>
      <c r="W8" s="23" t="s">
        <v>160</v>
      </c>
      <c r="X8" s="23" t="s">
        <v>160</v>
      </c>
      <c r="Y8" s="22">
        <v>0.5</v>
      </c>
      <c r="Z8" s="22">
        <v>0.5</v>
      </c>
    </row>
    <row r="9" spans="1:26" x14ac:dyDescent="0.25">
      <c r="A9" s="2"/>
      <c r="B9" s="2" t="s">
        <v>175</v>
      </c>
      <c r="C9" s="3" t="s">
        <v>158</v>
      </c>
      <c r="D9" s="2">
        <v>0.9</v>
      </c>
      <c r="E9" s="2">
        <v>0</v>
      </c>
      <c r="F9" s="2">
        <v>0</v>
      </c>
      <c r="G9" s="2">
        <v>0</v>
      </c>
      <c r="H9" s="2">
        <v>0.1</v>
      </c>
      <c r="I9" s="2">
        <v>0</v>
      </c>
      <c r="J9" s="3" t="s">
        <v>158</v>
      </c>
      <c r="K9" s="2">
        <v>0.1</v>
      </c>
      <c r="L9" s="2">
        <v>0.2</v>
      </c>
      <c r="M9" s="3" t="s">
        <v>164</v>
      </c>
      <c r="N9" s="2">
        <v>0.1</v>
      </c>
      <c r="O9" s="2">
        <v>0.2</v>
      </c>
      <c r="P9" s="3" t="s">
        <v>160</v>
      </c>
      <c r="Q9" s="3" t="s">
        <v>161</v>
      </c>
      <c r="R9" s="3" t="s">
        <v>160</v>
      </c>
      <c r="S9" s="3" t="s">
        <v>160</v>
      </c>
      <c r="T9" s="3" t="s">
        <v>160</v>
      </c>
      <c r="U9" s="2">
        <v>6.1</v>
      </c>
      <c r="V9" s="3" t="s">
        <v>160</v>
      </c>
      <c r="W9" s="3" t="s">
        <v>160</v>
      </c>
      <c r="X9" s="3" t="s">
        <v>160</v>
      </c>
      <c r="Y9" s="2">
        <v>0.5</v>
      </c>
      <c r="Z9" s="2">
        <v>0.5</v>
      </c>
    </row>
    <row r="10" spans="1:26" x14ac:dyDescent="0.25">
      <c r="A10" s="22"/>
      <c r="B10" s="22" t="s">
        <v>176</v>
      </c>
      <c r="C10" s="23" t="s">
        <v>158</v>
      </c>
      <c r="D10" s="22">
        <v>0.9</v>
      </c>
      <c r="E10" s="22">
        <v>0</v>
      </c>
      <c r="F10" s="22">
        <v>0</v>
      </c>
      <c r="G10" s="22">
        <v>0</v>
      </c>
      <c r="H10" s="22">
        <v>0.1</v>
      </c>
      <c r="I10" s="22">
        <v>0</v>
      </c>
      <c r="J10" s="23" t="s">
        <v>158</v>
      </c>
      <c r="K10" s="22">
        <v>0.1</v>
      </c>
      <c r="L10" s="22">
        <v>0.2</v>
      </c>
      <c r="M10" s="23" t="s">
        <v>164</v>
      </c>
      <c r="N10" s="22">
        <v>0.1</v>
      </c>
      <c r="O10" s="22">
        <v>0.2</v>
      </c>
      <c r="P10" s="23" t="s">
        <v>160</v>
      </c>
      <c r="Q10" s="23" t="s">
        <v>161</v>
      </c>
      <c r="R10" s="23" t="s">
        <v>160</v>
      </c>
      <c r="S10" s="23" t="s">
        <v>160</v>
      </c>
      <c r="T10" s="23" t="s">
        <v>160</v>
      </c>
      <c r="U10" s="22">
        <v>7.1</v>
      </c>
      <c r="V10" s="23" t="s">
        <v>160</v>
      </c>
      <c r="W10" s="23" t="s">
        <v>160</v>
      </c>
      <c r="X10" s="23" t="s">
        <v>160</v>
      </c>
      <c r="Y10" s="22">
        <v>0.5</v>
      </c>
      <c r="Z10" s="22">
        <v>0.5</v>
      </c>
    </row>
    <row r="11" spans="1:26" x14ac:dyDescent="0.25">
      <c r="A11" s="2"/>
      <c r="B11" s="2" t="s">
        <v>157</v>
      </c>
      <c r="C11" s="3" t="s">
        <v>158</v>
      </c>
      <c r="D11" s="2">
        <v>0.9</v>
      </c>
      <c r="E11" s="2">
        <v>0</v>
      </c>
      <c r="F11" s="2">
        <v>0</v>
      </c>
      <c r="G11" s="2">
        <v>0</v>
      </c>
      <c r="H11" s="2">
        <v>0.1</v>
      </c>
      <c r="I11" s="2">
        <v>0</v>
      </c>
      <c r="J11" s="3" t="s">
        <v>158</v>
      </c>
      <c r="K11" s="2">
        <v>0.1</v>
      </c>
      <c r="L11" s="2">
        <v>0.2</v>
      </c>
      <c r="M11" s="3" t="s">
        <v>164</v>
      </c>
      <c r="N11" s="2">
        <v>0.1</v>
      </c>
      <c r="O11" s="2">
        <v>0.2</v>
      </c>
      <c r="P11" s="3" t="s">
        <v>160</v>
      </c>
      <c r="Q11" s="3" t="s">
        <v>161</v>
      </c>
      <c r="R11" s="3" t="s">
        <v>160</v>
      </c>
      <c r="S11" s="3" t="s">
        <v>160</v>
      </c>
      <c r="T11" s="3" t="s">
        <v>160</v>
      </c>
      <c r="U11" s="2">
        <v>8.1</v>
      </c>
      <c r="V11" s="3" t="s">
        <v>160</v>
      </c>
      <c r="W11" s="3" t="s">
        <v>160</v>
      </c>
      <c r="X11" s="3" t="s">
        <v>160</v>
      </c>
      <c r="Y11" s="2">
        <v>0.5</v>
      </c>
      <c r="Z11" s="2">
        <v>0.5</v>
      </c>
    </row>
    <row r="12" spans="1:26" x14ac:dyDescent="0.25">
      <c r="A12" s="22"/>
      <c r="B12" s="22" t="s">
        <v>157</v>
      </c>
      <c r="C12" s="23" t="s">
        <v>158</v>
      </c>
      <c r="D12" s="22">
        <v>0.9</v>
      </c>
      <c r="E12" s="22">
        <v>0</v>
      </c>
      <c r="F12" s="22">
        <v>0</v>
      </c>
      <c r="G12" s="22">
        <v>0</v>
      </c>
      <c r="H12" s="22">
        <v>0.1</v>
      </c>
      <c r="I12" s="22">
        <v>0</v>
      </c>
      <c r="J12" s="23" t="s">
        <v>158</v>
      </c>
      <c r="K12" s="22">
        <v>0.1</v>
      </c>
      <c r="L12" s="22">
        <v>0.2</v>
      </c>
      <c r="M12" s="23" t="s">
        <v>164</v>
      </c>
      <c r="N12" s="22">
        <v>0.1</v>
      </c>
      <c r="O12" s="22">
        <v>0.2</v>
      </c>
      <c r="P12" s="23" t="s">
        <v>160</v>
      </c>
      <c r="Q12" s="23" t="s">
        <v>161</v>
      </c>
      <c r="R12" s="23" t="s">
        <v>160</v>
      </c>
      <c r="S12" s="23" t="s">
        <v>160</v>
      </c>
      <c r="T12" s="23" t="s">
        <v>160</v>
      </c>
      <c r="U12" s="22">
        <v>9.1</v>
      </c>
      <c r="V12" s="23" t="s">
        <v>160</v>
      </c>
      <c r="W12" s="23" t="s">
        <v>160</v>
      </c>
      <c r="X12" s="23" t="s">
        <v>160</v>
      </c>
      <c r="Y12" s="22">
        <v>0.5</v>
      </c>
      <c r="Z12" s="22">
        <v>0.5</v>
      </c>
    </row>
    <row r="13" spans="1:26" x14ac:dyDescent="0.25">
      <c r="A13" s="2"/>
      <c r="B13" s="2" t="s">
        <v>157</v>
      </c>
      <c r="C13" s="3" t="s">
        <v>158</v>
      </c>
      <c r="D13" s="2">
        <v>0.9</v>
      </c>
      <c r="E13" s="2">
        <v>0</v>
      </c>
      <c r="F13" s="2">
        <v>0</v>
      </c>
      <c r="G13" s="2">
        <v>0</v>
      </c>
      <c r="H13" s="2">
        <v>0.1</v>
      </c>
      <c r="I13" s="2">
        <v>0</v>
      </c>
      <c r="J13" s="3" t="s">
        <v>158</v>
      </c>
      <c r="K13" s="2">
        <v>0.1</v>
      </c>
      <c r="L13" s="2">
        <v>0.2</v>
      </c>
      <c r="M13" s="3" t="s">
        <v>164</v>
      </c>
      <c r="N13" s="2">
        <v>0.1</v>
      </c>
      <c r="O13" s="2">
        <v>0.2</v>
      </c>
      <c r="P13" s="3" t="s">
        <v>160</v>
      </c>
      <c r="Q13" s="3" t="s">
        <v>161</v>
      </c>
      <c r="R13" s="3" t="s">
        <v>160</v>
      </c>
      <c r="S13" s="3" t="s">
        <v>160</v>
      </c>
      <c r="T13" s="3" t="s">
        <v>160</v>
      </c>
      <c r="U13" s="2">
        <v>10.1</v>
      </c>
      <c r="V13" s="3" t="s">
        <v>160</v>
      </c>
      <c r="W13" s="3" t="s">
        <v>160</v>
      </c>
      <c r="X13" s="3" t="s">
        <v>160</v>
      </c>
      <c r="Y13" s="2">
        <v>0.5</v>
      </c>
      <c r="Z13" s="2">
        <v>0.5</v>
      </c>
    </row>
    <row r="14" spans="1:26" x14ac:dyDescent="0.25">
      <c r="A14" s="22"/>
      <c r="B14" s="22" t="s">
        <v>157</v>
      </c>
      <c r="C14" s="23" t="s">
        <v>158</v>
      </c>
      <c r="D14" s="22">
        <v>0.9</v>
      </c>
      <c r="E14" s="22">
        <v>0</v>
      </c>
      <c r="F14" s="22">
        <v>0</v>
      </c>
      <c r="G14" s="22">
        <v>0</v>
      </c>
      <c r="H14" s="22">
        <v>0.1</v>
      </c>
      <c r="I14" s="22">
        <v>0</v>
      </c>
      <c r="J14" s="23" t="s">
        <v>158</v>
      </c>
      <c r="K14" s="22">
        <v>0.1</v>
      </c>
      <c r="L14" s="22">
        <v>0.2</v>
      </c>
      <c r="M14" s="23" t="s">
        <v>164</v>
      </c>
      <c r="N14" s="22">
        <v>0.1</v>
      </c>
      <c r="O14" s="22">
        <v>0.2</v>
      </c>
      <c r="P14" s="23" t="s">
        <v>160</v>
      </c>
      <c r="Q14" s="23" t="s">
        <v>161</v>
      </c>
      <c r="R14" s="23" t="s">
        <v>160</v>
      </c>
      <c r="S14" s="23" t="s">
        <v>160</v>
      </c>
      <c r="T14" s="23" t="s">
        <v>160</v>
      </c>
      <c r="U14" s="22">
        <v>11.1</v>
      </c>
      <c r="V14" s="23" t="s">
        <v>160</v>
      </c>
      <c r="W14" s="23" t="s">
        <v>160</v>
      </c>
      <c r="X14" s="23" t="s">
        <v>160</v>
      </c>
      <c r="Y14" s="22">
        <v>0.5</v>
      </c>
      <c r="Z14" s="22">
        <v>0.5</v>
      </c>
    </row>
    <row r="15" spans="1:26" x14ac:dyDescent="0.25">
      <c r="A15" s="2"/>
      <c r="B15" s="2" t="s">
        <v>157</v>
      </c>
      <c r="C15" s="3" t="s">
        <v>158</v>
      </c>
      <c r="D15" s="2">
        <v>0.9</v>
      </c>
      <c r="E15" s="2">
        <v>0</v>
      </c>
      <c r="F15" s="2">
        <v>0</v>
      </c>
      <c r="G15" s="2">
        <v>0</v>
      </c>
      <c r="H15" s="2">
        <v>0.1</v>
      </c>
      <c r="I15" s="2">
        <v>0</v>
      </c>
      <c r="J15" s="3" t="s">
        <v>158</v>
      </c>
      <c r="K15" s="2">
        <v>0.1</v>
      </c>
      <c r="L15" s="2">
        <v>0.2</v>
      </c>
      <c r="M15" s="3" t="s">
        <v>164</v>
      </c>
      <c r="N15" s="2">
        <v>0.1</v>
      </c>
      <c r="O15" s="2">
        <v>0.2</v>
      </c>
      <c r="P15" s="3" t="s">
        <v>160</v>
      </c>
      <c r="Q15" s="3" t="s">
        <v>161</v>
      </c>
      <c r="R15" s="3" t="s">
        <v>160</v>
      </c>
      <c r="S15" s="3" t="s">
        <v>160</v>
      </c>
      <c r="T15" s="3" t="s">
        <v>160</v>
      </c>
      <c r="U15" s="2">
        <v>12.1</v>
      </c>
      <c r="V15" s="3" t="s">
        <v>160</v>
      </c>
      <c r="W15" s="3" t="s">
        <v>160</v>
      </c>
      <c r="X15" s="3" t="s">
        <v>160</v>
      </c>
      <c r="Y15" s="2">
        <v>0.5</v>
      </c>
      <c r="Z15" s="2">
        <v>0.5</v>
      </c>
    </row>
    <row r="16" spans="1:26" x14ac:dyDescent="0.25">
      <c r="A16" s="22"/>
      <c r="B16" s="22" t="s">
        <v>157</v>
      </c>
      <c r="C16" s="23" t="s">
        <v>158</v>
      </c>
      <c r="D16" s="22">
        <v>0.9</v>
      </c>
      <c r="E16" s="22">
        <v>0</v>
      </c>
      <c r="F16" s="22">
        <v>0</v>
      </c>
      <c r="G16" s="22">
        <v>0</v>
      </c>
      <c r="H16" s="22">
        <v>0.1</v>
      </c>
      <c r="I16" s="22">
        <v>0</v>
      </c>
      <c r="J16" s="23" t="s">
        <v>158</v>
      </c>
      <c r="K16" s="22">
        <v>0.1</v>
      </c>
      <c r="L16" s="22">
        <v>0.2</v>
      </c>
      <c r="M16" s="23" t="s">
        <v>164</v>
      </c>
      <c r="N16" s="22">
        <v>0.1</v>
      </c>
      <c r="O16" s="22">
        <v>0.2</v>
      </c>
      <c r="P16" s="23" t="s">
        <v>160</v>
      </c>
      <c r="Q16" s="23" t="s">
        <v>161</v>
      </c>
      <c r="R16" s="23" t="s">
        <v>160</v>
      </c>
      <c r="S16" s="23" t="s">
        <v>160</v>
      </c>
      <c r="T16" s="23" t="s">
        <v>160</v>
      </c>
      <c r="U16" s="22">
        <v>13.1</v>
      </c>
      <c r="V16" s="23" t="s">
        <v>160</v>
      </c>
      <c r="W16" s="23" t="s">
        <v>160</v>
      </c>
      <c r="X16" s="23" t="s">
        <v>160</v>
      </c>
      <c r="Y16" s="22">
        <v>0.5</v>
      </c>
      <c r="Z16" s="22">
        <v>0.5</v>
      </c>
    </row>
    <row r="17" spans="1:26" x14ac:dyDescent="0.25">
      <c r="A17" s="2"/>
      <c r="B17" s="2" t="s">
        <v>157</v>
      </c>
      <c r="C17" s="3" t="s">
        <v>158</v>
      </c>
      <c r="D17" s="2">
        <v>0.9</v>
      </c>
      <c r="E17" s="2">
        <v>0</v>
      </c>
      <c r="F17" s="2">
        <v>0</v>
      </c>
      <c r="G17" s="2">
        <v>0</v>
      </c>
      <c r="H17" s="2">
        <v>0.1</v>
      </c>
      <c r="I17" s="2">
        <v>0</v>
      </c>
      <c r="J17" s="3" t="s">
        <v>158</v>
      </c>
      <c r="K17" s="2">
        <v>0.1</v>
      </c>
      <c r="L17" s="2">
        <v>0.2</v>
      </c>
      <c r="M17" s="3" t="s">
        <v>164</v>
      </c>
      <c r="N17" s="2">
        <v>0.1</v>
      </c>
      <c r="O17" s="2">
        <v>0.2</v>
      </c>
      <c r="P17" s="3" t="s">
        <v>160</v>
      </c>
      <c r="Q17" s="3" t="s">
        <v>161</v>
      </c>
      <c r="R17" s="3" t="s">
        <v>160</v>
      </c>
      <c r="S17" s="3" t="s">
        <v>160</v>
      </c>
      <c r="T17" s="3" t="s">
        <v>160</v>
      </c>
      <c r="U17" s="2">
        <v>14.1</v>
      </c>
      <c r="V17" s="3" t="s">
        <v>160</v>
      </c>
      <c r="W17" s="3" t="s">
        <v>160</v>
      </c>
      <c r="X17" s="3" t="s">
        <v>160</v>
      </c>
      <c r="Y17" s="2">
        <v>0.5</v>
      </c>
      <c r="Z17" s="2">
        <v>0.5</v>
      </c>
    </row>
    <row r="18" spans="1:26" x14ac:dyDescent="0.25">
      <c r="A18" s="22"/>
      <c r="B18" s="22" t="s">
        <v>157</v>
      </c>
      <c r="C18" s="23" t="s">
        <v>158</v>
      </c>
      <c r="D18" s="22">
        <v>0.9</v>
      </c>
      <c r="E18" s="22">
        <v>0</v>
      </c>
      <c r="F18" s="22">
        <v>0</v>
      </c>
      <c r="G18" s="22">
        <v>0</v>
      </c>
      <c r="H18" s="22">
        <v>0.1</v>
      </c>
      <c r="I18" s="22">
        <v>0</v>
      </c>
      <c r="J18" s="23" t="s">
        <v>158</v>
      </c>
      <c r="K18" s="22">
        <v>0.1</v>
      </c>
      <c r="L18" s="22">
        <v>0.2</v>
      </c>
      <c r="M18" s="23" t="s">
        <v>164</v>
      </c>
      <c r="N18" s="22">
        <v>0.1</v>
      </c>
      <c r="O18" s="22">
        <v>0.2</v>
      </c>
      <c r="P18" s="23" t="s">
        <v>160</v>
      </c>
      <c r="Q18" s="23" t="s">
        <v>161</v>
      </c>
      <c r="R18" s="23" t="s">
        <v>160</v>
      </c>
      <c r="S18" s="23" t="s">
        <v>160</v>
      </c>
      <c r="T18" s="23" t="s">
        <v>160</v>
      </c>
      <c r="U18" s="22">
        <v>15.1</v>
      </c>
      <c r="V18" s="23" t="s">
        <v>160</v>
      </c>
      <c r="W18" s="23" t="s">
        <v>160</v>
      </c>
      <c r="X18" s="23" t="s">
        <v>160</v>
      </c>
      <c r="Y18" s="22">
        <v>0.5</v>
      </c>
      <c r="Z18" s="22">
        <v>0.5</v>
      </c>
    </row>
    <row r="19" spans="1:26" x14ac:dyDescent="0.25">
      <c r="A19" s="2"/>
      <c r="B19" s="2" t="s">
        <v>157</v>
      </c>
      <c r="C19" s="3" t="s">
        <v>158</v>
      </c>
      <c r="D19" s="2">
        <v>0.9</v>
      </c>
      <c r="E19" s="2">
        <v>0</v>
      </c>
      <c r="F19" s="2">
        <v>0</v>
      </c>
      <c r="G19" s="2">
        <v>0</v>
      </c>
      <c r="H19" s="2">
        <v>0.1</v>
      </c>
      <c r="I19" s="2">
        <v>0</v>
      </c>
      <c r="J19" s="3" t="s">
        <v>158</v>
      </c>
      <c r="K19" s="2">
        <v>0.1</v>
      </c>
      <c r="L19" s="2">
        <v>0.2</v>
      </c>
      <c r="M19" s="3" t="s">
        <v>164</v>
      </c>
      <c r="N19" s="2">
        <v>0.1</v>
      </c>
      <c r="O19" s="2">
        <v>0.2</v>
      </c>
      <c r="P19" s="3" t="s">
        <v>160</v>
      </c>
      <c r="Q19" s="3" t="s">
        <v>161</v>
      </c>
      <c r="R19" s="3" t="s">
        <v>160</v>
      </c>
      <c r="S19" s="3" t="s">
        <v>160</v>
      </c>
      <c r="T19" s="3" t="s">
        <v>160</v>
      </c>
      <c r="U19" s="2">
        <v>16.100000000000001</v>
      </c>
      <c r="V19" s="3" t="s">
        <v>160</v>
      </c>
      <c r="W19" s="3" t="s">
        <v>160</v>
      </c>
      <c r="X19" s="3" t="s">
        <v>160</v>
      </c>
      <c r="Y19" s="2">
        <v>0.5</v>
      </c>
      <c r="Z19" s="2">
        <v>0.5</v>
      </c>
    </row>
    <row r="20" spans="1:26" x14ac:dyDescent="0.25">
      <c r="A20" s="22"/>
      <c r="B20" s="22" t="s">
        <v>157</v>
      </c>
      <c r="C20" s="23" t="s">
        <v>158</v>
      </c>
      <c r="D20" s="22">
        <v>0.9</v>
      </c>
      <c r="E20" s="22">
        <v>0</v>
      </c>
      <c r="F20" s="22">
        <v>0</v>
      </c>
      <c r="G20" s="22">
        <v>0</v>
      </c>
      <c r="H20" s="22">
        <v>0.1</v>
      </c>
      <c r="I20" s="22">
        <v>0</v>
      </c>
      <c r="J20" s="23" t="s">
        <v>158</v>
      </c>
      <c r="K20" s="22">
        <v>0.1</v>
      </c>
      <c r="L20" s="22">
        <v>0.2</v>
      </c>
      <c r="M20" s="23" t="s">
        <v>164</v>
      </c>
      <c r="N20" s="22">
        <v>0.1</v>
      </c>
      <c r="O20" s="22">
        <v>0.2</v>
      </c>
      <c r="P20" s="23" t="s">
        <v>160</v>
      </c>
      <c r="Q20" s="23" t="s">
        <v>161</v>
      </c>
      <c r="R20" s="23" t="s">
        <v>160</v>
      </c>
      <c r="S20" s="23" t="s">
        <v>160</v>
      </c>
      <c r="T20" s="23" t="s">
        <v>160</v>
      </c>
      <c r="U20" s="22">
        <v>17.100000000000001</v>
      </c>
      <c r="V20" s="23" t="s">
        <v>160</v>
      </c>
      <c r="W20" s="23" t="s">
        <v>160</v>
      </c>
      <c r="X20" s="23" t="s">
        <v>160</v>
      </c>
      <c r="Y20" s="22">
        <v>0.5</v>
      </c>
      <c r="Z20" s="22">
        <v>0.5</v>
      </c>
    </row>
    <row r="21" spans="1:26" x14ac:dyDescent="0.25">
      <c r="A21" s="2"/>
      <c r="B21" s="2" t="s">
        <v>157</v>
      </c>
      <c r="C21" s="3" t="s">
        <v>158</v>
      </c>
      <c r="D21" s="2">
        <v>0.9</v>
      </c>
      <c r="E21" s="2">
        <v>0</v>
      </c>
      <c r="F21" s="2">
        <v>0</v>
      </c>
      <c r="G21" s="2">
        <v>0</v>
      </c>
      <c r="H21" s="2">
        <v>0.1</v>
      </c>
      <c r="I21" s="2">
        <v>0</v>
      </c>
      <c r="J21" s="3" t="s">
        <v>158</v>
      </c>
      <c r="K21" s="2">
        <v>0.1</v>
      </c>
      <c r="L21" s="2">
        <v>0.2</v>
      </c>
      <c r="M21" s="3" t="s">
        <v>164</v>
      </c>
      <c r="N21" s="2">
        <v>0.1</v>
      </c>
      <c r="O21" s="2">
        <v>0.2</v>
      </c>
      <c r="P21" s="3" t="s">
        <v>160</v>
      </c>
      <c r="Q21" s="3" t="s">
        <v>161</v>
      </c>
      <c r="R21" s="3" t="s">
        <v>160</v>
      </c>
      <c r="S21" s="3" t="s">
        <v>160</v>
      </c>
      <c r="T21" s="3" t="s">
        <v>160</v>
      </c>
      <c r="U21" s="2">
        <v>18.100000000000001</v>
      </c>
      <c r="V21" s="3" t="s">
        <v>160</v>
      </c>
      <c r="W21" s="3" t="s">
        <v>160</v>
      </c>
      <c r="X21" s="3" t="s">
        <v>160</v>
      </c>
      <c r="Y21" s="2">
        <v>0.5</v>
      </c>
      <c r="Z21" s="2">
        <v>0.5</v>
      </c>
    </row>
    <row r="22" spans="1:26" x14ac:dyDescent="0.25">
      <c r="A22" s="22"/>
      <c r="B22" s="22" t="s">
        <v>157</v>
      </c>
      <c r="C22" s="23" t="s">
        <v>158</v>
      </c>
      <c r="D22" s="22">
        <v>0.9</v>
      </c>
      <c r="E22" s="22">
        <v>0</v>
      </c>
      <c r="F22" s="22">
        <v>0</v>
      </c>
      <c r="G22" s="22">
        <v>0</v>
      </c>
      <c r="H22" s="22">
        <v>0.1</v>
      </c>
      <c r="I22" s="22">
        <v>0</v>
      </c>
      <c r="J22" s="23" t="s">
        <v>158</v>
      </c>
      <c r="K22" s="22">
        <v>0.1</v>
      </c>
      <c r="L22" s="22">
        <v>0.2</v>
      </c>
      <c r="M22" s="23" t="s">
        <v>164</v>
      </c>
      <c r="N22" s="22">
        <v>0.1</v>
      </c>
      <c r="O22" s="22">
        <v>0.2</v>
      </c>
      <c r="P22" s="23" t="s">
        <v>160</v>
      </c>
      <c r="Q22" s="23" t="s">
        <v>161</v>
      </c>
      <c r="R22" s="23" t="s">
        <v>160</v>
      </c>
      <c r="S22" s="23" t="s">
        <v>160</v>
      </c>
      <c r="T22" s="23" t="s">
        <v>160</v>
      </c>
      <c r="U22" s="22">
        <v>19.100000000000001</v>
      </c>
      <c r="V22" s="23" t="s">
        <v>160</v>
      </c>
      <c r="W22" s="23" t="s">
        <v>160</v>
      </c>
      <c r="X22" s="23" t="s">
        <v>160</v>
      </c>
      <c r="Y22" s="22">
        <v>0.5</v>
      </c>
      <c r="Z22" s="22">
        <v>0.5</v>
      </c>
    </row>
    <row r="23" spans="1:26" x14ac:dyDescent="0.25">
      <c r="A23" s="2"/>
      <c r="B23" s="2" t="s">
        <v>157</v>
      </c>
      <c r="C23" s="3" t="s">
        <v>158</v>
      </c>
      <c r="D23" s="2">
        <v>0.9</v>
      </c>
      <c r="E23" s="2">
        <v>0</v>
      </c>
      <c r="F23" s="2">
        <v>0</v>
      </c>
      <c r="G23" s="2">
        <v>0</v>
      </c>
      <c r="H23" s="2">
        <v>0.1</v>
      </c>
      <c r="I23" s="2">
        <v>0</v>
      </c>
      <c r="J23" s="3" t="s">
        <v>158</v>
      </c>
      <c r="K23" s="2">
        <v>0.1</v>
      </c>
      <c r="L23" s="2">
        <v>0.2</v>
      </c>
      <c r="M23" s="3" t="s">
        <v>164</v>
      </c>
      <c r="N23" s="2">
        <v>0.1</v>
      </c>
      <c r="O23" s="2">
        <v>0.2</v>
      </c>
      <c r="P23" s="3" t="s">
        <v>160</v>
      </c>
      <c r="Q23" s="3" t="s">
        <v>161</v>
      </c>
      <c r="R23" s="3" t="s">
        <v>160</v>
      </c>
      <c r="S23" s="3" t="s">
        <v>160</v>
      </c>
      <c r="T23" s="3" t="s">
        <v>160</v>
      </c>
      <c r="U23" s="2">
        <v>20.100000000000001</v>
      </c>
      <c r="V23" s="3" t="s">
        <v>160</v>
      </c>
      <c r="W23" s="3" t="s">
        <v>160</v>
      </c>
      <c r="X23" s="3" t="s">
        <v>160</v>
      </c>
      <c r="Y23" s="2">
        <v>0.5</v>
      </c>
      <c r="Z23" s="2">
        <v>0.5</v>
      </c>
    </row>
    <row r="24" spans="1:26" x14ac:dyDescent="0.25">
      <c r="A24" s="22"/>
      <c r="B24" s="22" t="s">
        <v>157</v>
      </c>
      <c r="C24" s="23" t="s">
        <v>158</v>
      </c>
      <c r="D24" s="22">
        <v>0.9</v>
      </c>
      <c r="E24" s="22">
        <v>0</v>
      </c>
      <c r="F24" s="22">
        <v>0</v>
      </c>
      <c r="G24" s="22">
        <v>0</v>
      </c>
      <c r="H24" s="22">
        <v>0.1</v>
      </c>
      <c r="I24" s="22">
        <v>0</v>
      </c>
      <c r="J24" s="23" t="s">
        <v>158</v>
      </c>
      <c r="K24" s="22">
        <v>0.1</v>
      </c>
      <c r="L24" s="22">
        <v>0.2</v>
      </c>
      <c r="M24" s="23" t="s">
        <v>164</v>
      </c>
      <c r="N24" s="22">
        <v>0.1</v>
      </c>
      <c r="O24" s="22">
        <v>0.2</v>
      </c>
      <c r="P24" s="23" t="s">
        <v>160</v>
      </c>
      <c r="Q24" s="23" t="s">
        <v>161</v>
      </c>
      <c r="R24" s="23" t="s">
        <v>160</v>
      </c>
      <c r="S24" s="23" t="s">
        <v>160</v>
      </c>
      <c r="T24" s="23" t="s">
        <v>160</v>
      </c>
      <c r="U24" s="22">
        <v>21.1</v>
      </c>
      <c r="V24" s="23" t="s">
        <v>160</v>
      </c>
      <c r="W24" s="23" t="s">
        <v>160</v>
      </c>
      <c r="X24" s="23" t="s">
        <v>160</v>
      </c>
      <c r="Y24" s="22">
        <v>0.5</v>
      </c>
      <c r="Z24" s="22">
        <v>0.5</v>
      </c>
    </row>
    <row r="25" spans="1:26" x14ac:dyDescent="0.25">
      <c r="A25" s="2"/>
      <c r="B25" s="2" t="s">
        <v>157</v>
      </c>
      <c r="C25" s="3" t="s">
        <v>158</v>
      </c>
      <c r="D25" s="2">
        <v>0.9</v>
      </c>
      <c r="E25" s="2">
        <v>0</v>
      </c>
      <c r="F25" s="2">
        <v>0</v>
      </c>
      <c r="G25" s="2">
        <v>0</v>
      </c>
      <c r="H25" s="2">
        <v>0.1</v>
      </c>
      <c r="I25" s="2">
        <v>0</v>
      </c>
      <c r="J25" s="3" t="s">
        <v>158</v>
      </c>
      <c r="K25" s="2">
        <v>0.1</v>
      </c>
      <c r="L25" s="2">
        <v>0.2</v>
      </c>
      <c r="M25" s="3" t="s">
        <v>164</v>
      </c>
      <c r="N25" s="2">
        <v>0.1</v>
      </c>
      <c r="O25" s="2">
        <v>0.2</v>
      </c>
      <c r="P25" s="3" t="s">
        <v>160</v>
      </c>
      <c r="Q25" s="3" t="s">
        <v>161</v>
      </c>
      <c r="R25" s="3" t="s">
        <v>160</v>
      </c>
      <c r="S25" s="3" t="s">
        <v>160</v>
      </c>
      <c r="T25" s="3" t="s">
        <v>160</v>
      </c>
      <c r="U25" s="2">
        <v>22.1</v>
      </c>
      <c r="V25" s="3" t="s">
        <v>160</v>
      </c>
      <c r="W25" s="3" t="s">
        <v>160</v>
      </c>
      <c r="X25" s="3" t="s">
        <v>160</v>
      </c>
      <c r="Y25" s="2">
        <v>0.5</v>
      </c>
      <c r="Z25" s="2">
        <v>0.5</v>
      </c>
    </row>
    <row r="26" spans="1:26" x14ac:dyDescent="0.25">
      <c r="A26" s="22"/>
      <c r="B26" s="22" t="s">
        <v>157</v>
      </c>
      <c r="C26" s="23" t="s">
        <v>158</v>
      </c>
      <c r="D26" s="22">
        <v>0.9</v>
      </c>
      <c r="E26" s="22">
        <v>0</v>
      </c>
      <c r="F26" s="22">
        <v>0</v>
      </c>
      <c r="G26" s="22">
        <v>0</v>
      </c>
      <c r="H26" s="22">
        <v>0.1</v>
      </c>
      <c r="I26" s="22">
        <v>0</v>
      </c>
      <c r="J26" s="23" t="s">
        <v>158</v>
      </c>
      <c r="K26" s="22">
        <v>0.1</v>
      </c>
      <c r="L26" s="22">
        <v>0.2</v>
      </c>
      <c r="M26" s="23" t="s">
        <v>164</v>
      </c>
      <c r="N26" s="22">
        <v>0.1</v>
      </c>
      <c r="O26" s="22">
        <v>0.2</v>
      </c>
      <c r="P26" s="23" t="s">
        <v>160</v>
      </c>
      <c r="Q26" s="23" t="s">
        <v>161</v>
      </c>
      <c r="R26" s="23" t="s">
        <v>160</v>
      </c>
      <c r="S26" s="23" t="s">
        <v>160</v>
      </c>
      <c r="T26" s="23" t="s">
        <v>160</v>
      </c>
      <c r="U26" s="22">
        <v>23.1</v>
      </c>
      <c r="V26" s="23" t="s">
        <v>160</v>
      </c>
      <c r="W26" s="23" t="s">
        <v>160</v>
      </c>
      <c r="X26" s="23" t="s">
        <v>160</v>
      </c>
      <c r="Y26" s="22">
        <v>0.5</v>
      </c>
      <c r="Z26" s="22">
        <v>0.5</v>
      </c>
    </row>
    <row r="27" spans="1:26" x14ac:dyDescent="0.25">
      <c r="A27" s="2"/>
      <c r="B27" s="2" t="s">
        <v>157</v>
      </c>
      <c r="C27" s="3" t="s">
        <v>158</v>
      </c>
      <c r="D27" s="2">
        <v>0.9</v>
      </c>
      <c r="E27" s="2">
        <v>0</v>
      </c>
      <c r="F27" s="2">
        <v>0</v>
      </c>
      <c r="G27" s="2">
        <v>0</v>
      </c>
      <c r="H27" s="2">
        <v>0.1</v>
      </c>
      <c r="I27" s="2">
        <v>0</v>
      </c>
      <c r="J27" s="3" t="s">
        <v>158</v>
      </c>
      <c r="K27" s="2">
        <v>0.1</v>
      </c>
      <c r="L27" s="2">
        <v>0.2</v>
      </c>
      <c r="M27" s="3" t="s">
        <v>164</v>
      </c>
      <c r="N27" s="2">
        <v>0.1</v>
      </c>
      <c r="O27" s="2">
        <v>0.2</v>
      </c>
      <c r="P27" s="3" t="s">
        <v>160</v>
      </c>
      <c r="Q27" s="3" t="s">
        <v>161</v>
      </c>
      <c r="R27" s="3" t="s">
        <v>160</v>
      </c>
      <c r="S27" s="3" t="s">
        <v>160</v>
      </c>
      <c r="T27" s="3" t="s">
        <v>160</v>
      </c>
      <c r="U27" s="2">
        <v>24.1</v>
      </c>
      <c r="V27" s="3" t="s">
        <v>160</v>
      </c>
      <c r="W27" s="3" t="s">
        <v>160</v>
      </c>
      <c r="X27" s="3" t="s">
        <v>160</v>
      </c>
      <c r="Y27" s="2">
        <v>0.5</v>
      </c>
      <c r="Z27" s="2">
        <v>0.5</v>
      </c>
    </row>
    <row r="28" spans="1:26" x14ac:dyDescent="0.25">
      <c r="A28" s="22"/>
      <c r="B28" s="22" t="s">
        <v>157</v>
      </c>
      <c r="C28" s="23" t="s">
        <v>158</v>
      </c>
      <c r="D28" s="22">
        <v>0.9</v>
      </c>
      <c r="E28" s="22">
        <v>0</v>
      </c>
      <c r="F28" s="22">
        <v>0</v>
      </c>
      <c r="G28" s="22">
        <v>0</v>
      </c>
      <c r="H28" s="22">
        <v>0.1</v>
      </c>
      <c r="I28" s="22">
        <v>0</v>
      </c>
      <c r="J28" s="23" t="s">
        <v>158</v>
      </c>
      <c r="K28" s="22">
        <v>0.1</v>
      </c>
      <c r="L28" s="22">
        <v>0.2</v>
      </c>
      <c r="M28" s="23" t="s">
        <v>164</v>
      </c>
      <c r="N28" s="22">
        <v>0.1</v>
      </c>
      <c r="O28" s="22">
        <v>0.2</v>
      </c>
      <c r="P28" s="23" t="s">
        <v>160</v>
      </c>
      <c r="Q28" s="23" t="s">
        <v>161</v>
      </c>
      <c r="R28" s="23" t="s">
        <v>160</v>
      </c>
      <c r="S28" s="23" t="s">
        <v>160</v>
      </c>
      <c r="T28" s="23" t="s">
        <v>160</v>
      </c>
      <c r="U28" s="22">
        <v>25.1</v>
      </c>
      <c r="V28" s="23" t="s">
        <v>160</v>
      </c>
      <c r="W28" s="23" t="s">
        <v>160</v>
      </c>
      <c r="X28" s="23" t="s">
        <v>160</v>
      </c>
      <c r="Y28" s="22">
        <v>0.5</v>
      </c>
      <c r="Z28" s="22">
        <v>0.5</v>
      </c>
    </row>
    <row r="29" spans="1:26" x14ac:dyDescent="0.25">
      <c r="A29" s="2"/>
      <c r="B29" s="2" t="s">
        <v>157</v>
      </c>
      <c r="C29" s="3" t="s">
        <v>158</v>
      </c>
      <c r="D29" s="2">
        <v>0.9</v>
      </c>
      <c r="E29" s="2">
        <v>0</v>
      </c>
      <c r="F29" s="2">
        <v>0</v>
      </c>
      <c r="G29" s="2">
        <v>0</v>
      </c>
      <c r="H29" s="2">
        <v>0.1</v>
      </c>
      <c r="I29" s="2">
        <v>0</v>
      </c>
      <c r="J29" s="3" t="s">
        <v>158</v>
      </c>
      <c r="K29" s="2">
        <v>0.1</v>
      </c>
      <c r="L29" s="2">
        <v>0.2</v>
      </c>
      <c r="M29" s="3" t="s">
        <v>164</v>
      </c>
      <c r="N29" s="2">
        <v>0.1</v>
      </c>
      <c r="O29" s="2">
        <v>0.2</v>
      </c>
      <c r="P29" s="3" t="s">
        <v>160</v>
      </c>
      <c r="Q29" s="3" t="s">
        <v>161</v>
      </c>
      <c r="R29" s="3" t="s">
        <v>160</v>
      </c>
      <c r="S29" s="3" t="s">
        <v>160</v>
      </c>
      <c r="T29" s="3" t="s">
        <v>160</v>
      </c>
      <c r="U29" s="2">
        <v>26.1</v>
      </c>
      <c r="V29" s="3" t="s">
        <v>160</v>
      </c>
      <c r="W29" s="3" t="s">
        <v>160</v>
      </c>
      <c r="X29" s="3" t="s">
        <v>160</v>
      </c>
      <c r="Y29" s="2">
        <v>0.5</v>
      </c>
      <c r="Z29" s="2">
        <v>0.5</v>
      </c>
    </row>
    <row r="30" spans="1:26" ht="15" customHeight="1" thickBot="1" x14ac:dyDescent="0.3">
      <c r="A30" s="24"/>
      <c r="B30" s="24" t="s">
        <v>157</v>
      </c>
      <c r="C30" s="25" t="s">
        <v>158</v>
      </c>
      <c r="D30" s="24">
        <v>0.9</v>
      </c>
      <c r="E30" s="24">
        <v>0</v>
      </c>
      <c r="F30" s="24">
        <v>0</v>
      </c>
      <c r="G30" s="24">
        <v>0</v>
      </c>
      <c r="H30" s="24">
        <v>0.1</v>
      </c>
      <c r="I30" s="24">
        <v>0</v>
      </c>
      <c r="J30" s="25" t="s">
        <v>158</v>
      </c>
      <c r="K30" s="24">
        <v>0.1</v>
      </c>
      <c r="L30" s="24">
        <v>0.2</v>
      </c>
      <c r="M30" s="25" t="s">
        <v>164</v>
      </c>
      <c r="N30" s="24">
        <v>0.1</v>
      </c>
      <c r="O30" s="24">
        <v>0.2</v>
      </c>
      <c r="P30" s="25" t="s">
        <v>160</v>
      </c>
      <c r="Q30" s="25" t="s">
        <v>161</v>
      </c>
      <c r="R30" s="25" t="s">
        <v>160</v>
      </c>
      <c r="S30" s="25" t="s">
        <v>160</v>
      </c>
      <c r="T30" s="25" t="s">
        <v>160</v>
      </c>
      <c r="U30" s="24">
        <v>27.1</v>
      </c>
      <c r="V30" s="25" t="s">
        <v>160</v>
      </c>
      <c r="W30" s="25" t="s">
        <v>160</v>
      </c>
      <c r="X30" s="25" t="s">
        <v>160</v>
      </c>
      <c r="Y30" s="24">
        <v>0.5</v>
      </c>
      <c r="Z30" s="24">
        <v>0.5</v>
      </c>
    </row>
  </sheetData>
  <dataValidations count="12">
    <dataValidation type="list" allowBlank="1" showInputMessage="1" showErrorMessage="1" sqref="C2:C30" xr:uid="{00000000-0002-0000-0100-000000000000}">
      <formula1>ThroughHole_Position</formula1>
    </dataValidation>
    <dataValidation type="list" allowBlank="1" showInputMessage="1" showErrorMessage="1" sqref="J2:J30" xr:uid="{00000000-0002-0000-0100-000001000000}">
      <formula1>Perforation_Position</formula1>
    </dataValidation>
    <dataValidation type="list" allowBlank="1" showInputMessage="1" showErrorMessage="1" sqref="M2:M30" xr:uid="{00000000-0002-0000-0100-000002000000}">
      <formula1>SurfCov_Level</formula1>
    </dataValidation>
    <dataValidation type="list" allowBlank="1" showInputMessage="1" showErrorMessage="1" sqref="P2:P30" xr:uid="{00000000-0002-0000-0100-000003000000}">
      <formula1>Attic_IsAccessible</formula1>
    </dataValidation>
    <dataValidation type="list" allowBlank="1" showInputMessage="1" showErrorMessage="1" sqref="Q2:Q30" xr:uid="{00000000-0002-0000-0100-000004000000}">
      <formula1>Attic_IsWalkable</formula1>
    </dataValidation>
    <dataValidation type="list" allowBlank="1" showInputMessage="1" showErrorMessage="1" sqref="R2:R30" xr:uid="{00000000-0002-0000-0100-000005000000}">
      <formula1>Copertura_estradosso_solaio</formula1>
    </dataValidation>
    <dataValidation type="list" allowBlank="1" showInputMessage="1" showErrorMessage="1" sqref="S2:S30" xr:uid="{00000000-0002-0000-0100-000006000000}">
      <formula1>Bonding</formula1>
    </dataValidation>
    <dataValidation type="list" allowBlank="1" showInputMessage="1" showErrorMessage="1" sqref="T2:T30" xr:uid="{00000000-0002-0000-0100-000007000000}">
      <formula1>Leaning</formula1>
    </dataValidation>
    <dataValidation type="list" allowBlank="1" showInputMessage="1" showErrorMessage="1" sqref="V2:V30" xr:uid="{00000000-0002-0000-0100-000008000000}">
      <formula1>Demolition</formula1>
    </dataValidation>
    <dataValidation type="list" allowBlank="1" showInputMessage="1" showErrorMessage="1" sqref="W2:W30" xr:uid="{00000000-0002-0000-0100-000009000000}">
      <formula1>Excavation</formula1>
    </dataValidation>
    <dataValidation type="list" allowBlank="1" showInputMessage="1" showErrorMessage="1" sqref="X2:X30" xr:uid="{00000000-0002-0000-0100-00000A000000}">
      <formula1>Infill</formula1>
    </dataValidation>
    <dataValidation type="list" allowBlank="1" showInputMessage="1" showErrorMessage="1" sqref="B2:B30" xr:uid="{00000000-0002-0000-0100-00000B000000}">
      <formula1>Element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26"/>
  <sheetViews>
    <sheetView zoomScale="129" zoomScaleNormal="145" workbookViewId="0">
      <selection activeCell="A10" sqref="A10"/>
    </sheetView>
  </sheetViews>
  <sheetFormatPr defaultColWidth="16.28515625" defaultRowHeight="11.25" x14ac:dyDescent="0.2"/>
  <cols>
    <col min="1" max="1" width="37.7109375" style="14" bestFit="1" customWidth="1"/>
    <col min="2" max="4" width="3.140625" style="14" bestFit="1" customWidth="1"/>
    <col min="5" max="9" width="6.28515625" style="14" bestFit="1" customWidth="1"/>
    <col min="10" max="11" width="8.42578125" style="14" bestFit="1" customWidth="1"/>
    <col min="12" max="12" width="5.140625" style="14" bestFit="1" customWidth="1"/>
    <col min="13" max="13" width="5.85546875" style="14" bestFit="1" customWidth="1"/>
    <col min="14" max="15" width="5.140625" style="14" bestFit="1" customWidth="1"/>
    <col min="16" max="17" width="8.42578125" style="14" bestFit="1" customWidth="1"/>
    <col min="18" max="18" width="11.7109375" style="14" bestFit="1" customWidth="1"/>
    <col min="19" max="19" width="6.28515625" style="14" bestFit="1" customWidth="1"/>
    <col min="20" max="21" width="10.7109375" style="14" bestFit="1" customWidth="1"/>
    <col min="22" max="22" width="11.28515625" style="14" bestFit="1" customWidth="1"/>
    <col min="23" max="23" width="3.140625" style="14" bestFit="1" customWidth="1"/>
    <col min="24" max="24" width="5" style="14" customWidth="1"/>
    <col min="25" max="25" width="5.5703125" style="14" customWidth="1"/>
    <col min="26" max="26" width="4.5703125" style="14" bestFit="1" customWidth="1"/>
    <col min="27" max="35" width="16.28515625" style="14" customWidth="1"/>
    <col min="36" max="16384" width="16.28515625" style="14"/>
  </cols>
  <sheetData>
    <row r="1" spans="1:26" ht="99" customHeight="1" x14ac:dyDescent="0.2">
      <c r="A1" s="13" t="s">
        <v>177</v>
      </c>
      <c r="B1" s="17" t="s">
        <v>178</v>
      </c>
      <c r="C1" s="17" t="s">
        <v>179</v>
      </c>
      <c r="D1" s="17" t="s">
        <v>180</v>
      </c>
      <c r="E1" s="17" t="s">
        <v>181</v>
      </c>
      <c r="F1" s="17" t="s">
        <v>182</v>
      </c>
      <c r="G1" s="17" t="s">
        <v>183</v>
      </c>
      <c r="H1" s="17" t="s">
        <v>184</v>
      </c>
      <c r="I1" s="17" t="s">
        <v>185</v>
      </c>
      <c r="J1" s="17" t="s">
        <v>186</v>
      </c>
      <c r="K1" s="17" t="s">
        <v>187</v>
      </c>
      <c r="L1" s="17" t="s">
        <v>188</v>
      </c>
      <c r="M1" s="17" t="s">
        <v>189</v>
      </c>
      <c r="N1" s="17" t="s">
        <v>190</v>
      </c>
      <c r="O1" s="17" t="s">
        <v>191</v>
      </c>
      <c r="P1" s="17" t="s">
        <v>192</v>
      </c>
      <c r="Q1" s="17" t="s">
        <v>193</v>
      </c>
      <c r="R1" s="17" t="s">
        <v>194</v>
      </c>
      <c r="S1" s="17" t="s">
        <v>195</v>
      </c>
      <c r="T1" s="17" t="s">
        <v>196</v>
      </c>
      <c r="U1" s="17" t="s">
        <v>197</v>
      </c>
      <c r="V1" s="17" t="s">
        <v>198</v>
      </c>
      <c r="W1" s="17" t="s">
        <v>199</v>
      </c>
      <c r="X1" s="17" t="s">
        <v>200</v>
      </c>
      <c r="Y1" s="17" t="s">
        <v>201</v>
      </c>
      <c r="Z1" s="17" t="s">
        <v>202</v>
      </c>
    </row>
    <row r="2" spans="1:26" x14ac:dyDescent="0.2">
      <c r="A2" s="16" t="s">
        <v>203</v>
      </c>
      <c r="B2" s="16">
        <v>1</v>
      </c>
      <c r="C2" s="16">
        <v>2</v>
      </c>
      <c r="D2" s="16">
        <v>3</v>
      </c>
      <c r="E2" s="16">
        <v>4</v>
      </c>
      <c r="F2" s="16">
        <v>4</v>
      </c>
      <c r="G2" s="16">
        <v>4</v>
      </c>
      <c r="H2" s="16">
        <v>4</v>
      </c>
      <c r="I2" s="16">
        <v>4</v>
      </c>
      <c r="J2" s="16">
        <v>5</v>
      </c>
      <c r="K2" s="16">
        <v>5</v>
      </c>
      <c r="L2" s="16">
        <v>6</v>
      </c>
      <c r="M2" s="16">
        <v>6</v>
      </c>
      <c r="N2" s="16">
        <v>6</v>
      </c>
      <c r="O2" s="16">
        <v>6</v>
      </c>
      <c r="P2" s="16">
        <v>7</v>
      </c>
      <c r="Q2" s="16">
        <v>7</v>
      </c>
      <c r="R2" s="16">
        <v>7</v>
      </c>
      <c r="S2" s="16">
        <v>7</v>
      </c>
      <c r="T2" s="16">
        <v>8</v>
      </c>
      <c r="U2" s="16">
        <v>8</v>
      </c>
      <c r="V2" s="16">
        <v>8</v>
      </c>
      <c r="W2" s="16">
        <v>9</v>
      </c>
      <c r="X2" s="16">
        <v>10</v>
      </c>
      <c r="Y2" s="16">
        <v>11</v>
      </c>
      <c r="Z2" s="16">
        <v>12</v>
      </c>
    </row>
    <row r="3" spans="1:26" x14ac:dyDescent="0.2">
      <c r="A3" s="15" t="str">
        <f t="array" ref="A3:A26">TRANSPOSE(ELEMENTS!$C$1:$Z$1)</f>
        <v>ThroughHole_Position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 t="s">
        <v>204</v>
      </c>
      <c r="Q3" s="16" t="s">
        <v>204</v>
      </c>
      <c r="R3" s="16" t="s">
        <v>204</v>
      </c>
      <c r="S3" s="16"/>
      <c r="T3" s="16"/>
      <c r="U3" s="16"/>
      <c r="V3" s="16"/>
      <c r="W3" s="16"/>
      <c r="X3" s="16"/>
      <c r="Y3" s="16"/>
      <c r="Z3" s="16"/>
    </row>
    <row r="4" spans="1:26" ht="21.6" customHeight="1" x14ac:dyDescent="0.2">
      <c r="A4" s="15" t="str">
        <v>ThroughHole_Diameter_Max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6" t="s">
        <v>205</v>
      </c>
      <c r="Q4" s="16" t="s">
        <v>206</v>
      </c>
      <c r="R4" s="16" t="s">
        <v>207</v>
      </c>
      <c r="S4" s="18"/>
      <c r="T4" s="18"/>
      <c r="U4" s="18"/>
      <c r="V4" s="18"/>
      <c r="W4" s="18"/>
      <c r="X4" s="18"/>
      <c r="Y4" s="18"/>
      <c r="Z4" s="18"/>
    </row>
    <row r="5" spans="1:26" ht="21.6" customHeight="1" x14ac:dyDescent="0.2">
      <c r="A5" s="15" t="str">
        <v>Opening_Reduction_Height_SuspCeiling_Length_Max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6" t="s">
        <v>205</v>
      </c>
      <c r="U5" s="16" t="s">
        <v>208</v>
      </c>
      <c r="V5" s="16" t="s">
        <v>209</v>
      </c>
      <c r="W5" s="18"/>
      <c r="X5" s="18"/>
      <c r="Y5" s="18"/>
      <c r="Z5" s="18"/>
    </row>
    <row r="6" spans="1:26" ht="21.6" customHeight="1" x14ac:dyDescent="0.2">
      <c r="A6" s="15" t="str">
        <v>Opening_Reduction_Height_RaisedFloor_Length_Max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6" t="s">
        <v>205</v>
      </c>
      <c r="U6" s="16" t="s">
        <v>208</v>
      </c>
      <c r="V6" s="16" t="s">
        <v>209</v>
      </c>
      <c r="W6" s="18"/>
      <c r="X6" s="18"/>
      <c r="Y6" s="18"/>
      <c r="Z6" s="18"/>
    </row>
    <row r="7" spans="1:26" ht="21.6" customHeight="1" x14ac:dyDescent="0.2">
      <c r="A7" s="15" t="str">
        <v>Opening_Reduction_Width_Side_Length_Max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6" t="s">
        <v>205</v>
      </c>
      <c r="U7" s="16" t="s">
        <v>208</v>
      </c>
      <c r="V7" s="16" t="s">
        <v>209</v>
      </c>
      <c r="W7" s="18"/>
      <c r="X7" s="18"/>
      <c r="Y7" s="18"/>
      <c r="Z7" s="18"/>
    </row>
    <row r="8" spans="1:26" ht="22.5" customHeight="1" x14ac:dyDescent="0.2">
      <c r="A8" s="15" t="str">
        <v>Perforation_Depth_Max</v>
      </c>
      <c r="B8" s="18"/>
      <c r="C8" s="18"/>
      <c r="D8" s="18"/>
      <c r="E8" s="16" t="s">
        <v>208</v>
      </c>
      <c r="F8" s="16" t="s">
        <v>210</v>
      </c>
      <c r="G8" s="16" t="s">
        <v>208</v>
      </c>
      <c r="H8" s="16" t="s">
        <v>210</v>
      </c>
      <c r="I8" s="16" t="s">
        <v>211</v>
      </c>
      <c r="J8" s="18"/>
      <c r="K8" s="18"/>
      <c r="L8" s="16" t="s">
        <v>208</v>
      </c>
      <c r="M8" s="16" t="s">
        <v>210</v>
      </c>
      <c r="N8" s="16" t="s">
        <v>208</v>
      </c>
      <c r="O8" s="16" t="s">
        <v>208</v>
      </c>
      <c r="P8" s="18"/>
      <c r="Q8" s="18"/>
      <c r="R8" s="18"/>
      <c r="S8" s="16" t="s">
        <v>212</v>
      </c>
      <c r="T8" s="18"/>
      <c r="U8" s="18"/>
      <c r="V8" s="18"/>
      <c r="W8" s="18"/>
      <c r="X8" s="18"/>
      <c r="Y8" s="18"/>
      <c r="Z8" s="18"/>
    </row>
    <row r="9" spans="1:26" ht="22.5" customHeight="1" x14ac:dyDescent="0.2">
      <c r="A9" s="15" t="str">
        <v>Perforation_Diameter_Max</v>
      </c>
      <c r="B9" s="18"/>
      <c r="C9" s="18"/>
      <c r="D9" s="18"/>
      <c r="E9" s="16" t="s">
        <v>213</v>
      </c>
      <c r="F9" s="16" t="s">
        <v>213</v>
      </c>
      <c r="G9" s="16" t="s">
        <v>213</v>
      </c>
      <c r="H9" s="16" t="s">
        <v>213</v>
      </c>
      <c r="I9" s="16" t="s">
        <v>208</v>
      </c>
      <c r="J9" s="18"/>
      <c r="K9" s="18"/>
      <c r="L9" s="16" t="s">
        <v>213</v>
      </c>
      <c r="M9" s="16" t="s">
        <v>214</v>
      </c>
      <c r="N9" s="16" t="s">
        <v>213</v>
      </c>
      <c r="O9" s="16" t="s">
        <v>213</v>
      </c>
      <c r="P9" s="18"/>
      <c r="Q9" s="18"/>
      <c r="R9" s="18"/>
      <c r="S9" s="16" t="s">
        <v>208</v>
      </c>
      <c r="T9" s="18"/>
      <c r="U9" s="18"/>
      <c r="V9" s="18"/>
      <c r="W9" s="18"/>
      <c r="X9" s="18"/>
      <c r="Y9" s="18"/>
      <c r="Z9" s="18"/>
    </row>
    <row r="10" spans="1:26" x14ac:dyDescent="0.2">
      <c r="A10" s="15" t="str">
        <v>Perforation_Position</v>
      </c>
      <c r="B10" s="18"/>
      <c r="C10" s="18"/>
      <c r="D10" s="18"/>
      <c r="E10" s="16" t="s">
        <v>215</v>
      </c>
      <c r="F10" s="16" t="s">
        <v>215</v>
      </c>
      <c r="G10" s="16" t="s">
        <v>215</v>
      </c>
      <c r="H10" s="16" t="s">
        <v>215</v>
      </c>
      <c r="I10" s="16" t="s">
        <v>215</v>
      </c>
      <c r="J10" s="18"/>
      <c r="K10" s="18"/>
      <c r="L10" s="16" t="s">
        <v>216</v>
      </c>
      <c r="M10" s="16" t="s">
        <v>216</v>
      </c>
      <c r="N10" s="16" t="s">
        <v>216</v>
      </c>
      <c r="O10" s="16" t="s">
        <v>217</v>
      </c>
      <c r="P10" s="18"/>
      <c r="Q10" s="18"/>
      <c r="R10" s="18"/>
      <c r="S10" s="16" t="s">
        <v>218</v>
      </c>
      <c r="T10" s="18"/>
      <c r="U10" s="18"/>
      <c r="V10" s="18"/>
      <c r="W10" s="18"/>
      <c r="X10" s="18"/>
      <c r="Y10" s="18"/>
      <c r="Z10" s="18"/>
    </row>
    <row r="11" spans="1:26" x14ac:dyDescent="0.2">
      <c r="A11" s="15" t="str">
        <v>Perforation_Length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 t="s">
        <v>219</v>
      </c>
      <c r="M11" s="16" t="s">
        <v>219</v>
      </c>
      <c r="N11" s="16" t="s">
        <v>219</v>
      </c>
      <c r="O11" s="16" t="s">
        <v>220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2.5" customHeight="1" x14ac:dyDescent="0.2">
      <c r="A12" s="15" t="str">
        <v>Perforation_Width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 t="s">
        <v>221</v>
      </c>
      <c r="M12" s="16" t="s">
        <v>213</v>
      </c>
      <c r="N12" s="16" t="s">
        <v>222</v>
      </c>
      <c r="O12" s="16" t="s">
        <v>217</v>
      </c>
      <c r="P12" s="16"/>
      <c r="Q12" s="16"/>
      <c r="R12" s="16"/>
      <c r="S12" s="16" t="s">
        <v>223</v>
      </c>
      <c r="T12" s="16"/>
      <c r="U12" s="16"/>
      <c r="V12" s="16"/>
      <c r="W12" s="16"/>
      <c r="X12" s="16"/>
      <c r="Y12" s="16"/>
      <c r="Z12" s="16"/>
    </row>
    <row r="13" spans="1:26" x14ac:dyDescent="0.2">
      <c r="A13" s="15" t="str">
        <v>SurfCov_Level</v>
      </c>
      <c r="B13" s="18"/>
      <c r="C13" s="18"/>
      <c r="D13" s="18"/>
      <c r="E13" s="16" t="s">
        <v>220</v>
      </c>
      <c r="F13" s="16" t="s">
        <v>220</v>
      </c>
      <c r="G13" s="16" t="s">
        <v>220</v>
      </c>
      <c r="H13" s="16" t="s">
        <v>220</v>
      </c>
      <c r="I13" s="16" t="s">
        <v>220</v>
      </c>
      <c r="J13" s="18"/>
      <c r="K13" s="18"/>
      <c r="L13" s="16" t="s">
        <v>224</v>
      </c>
      <c r="M13" s="16" t="s">
        <v>224</v>
      </c>
      <c r="N13" s="16" t="s">
        <v>224</v>
      </c>
      <c r="O13" s="16" t="s">
        <v>217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1.6" customHeight="1" x14ac:dyDescent="0.2">
      <c r="A14" s="15" t="str">
        <v>CutOut_Depth_Max</v>
      </c>
      <c r="B14" s="18"/>
      <c r="C14" s="18"/>
      <c r="D14" s="18"/>
      <c r="E14" s="18"/>
      <c r="F14" s="18"/>
      <c r="G14" s="18"/>
      <c r="H14" s="18"/>
      <c r="I14" s="18"/>
      <c r="J14" s="16" t="s">
        <v>205</v>
      </c>
      <c r="K14" s="16" t="s">
        <v>206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6" customHeight="1" x14ac:dyDescent="0.2">
      <c r="A15" s="15" t="str">
        <v>CutOut_Width_Max</v>
      </c>
      <c r="B15" s="18"/>
      <c r="C15" s="18"/>
      <c r="D15" s="18"/>
      <c r="E15" s="18"/>
      <c r="F15" s="18"/>
      <c r="G15" s="18"/>
      <c r="H15" s="18"/>
      <c r="I15" s="18"/>
      <c r="J15" s="16" t="s">
        <v>205</v>
      </c>
      <c r="K15" s="16" t="s">
        <v>206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1.6" customHeight="1" x14ac:dyDescent="0.2">
      <c r="A16" s="15" t="str">
        <v>Attic_IsAccessible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6" t="s">
        <v>217</v>
      </c>
    </row>
    <row r="17" spans="1:26" ht="21.6" customHeight="1" x14ac:dyDescent="0.2">
      <c r="A17" s="15" t="str">
        <v>Attic_IsWalkable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6" t="s">
        <v>217</v>
      </c>
    </row>
    <row r="18" spans="1:26" x14ac:dyDescent="0.2">
      <c r="A18" s="15" t="str">
        <v>AtticFloor_CanBeCovered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6" t="s">
        <v>217</v>
      </c>
    </row>
    <row r="19" spans="1:26" x14ac:dyDescent="0.2">
      <c r="A19" s="15" t="str">
        <v>Bonding</v>
      </c>
      <c r="B19" s="18"/>
      <c r="C19" s="18"/>
      <c r="D19" s="18"/>
      <c r="E19" s="18"/>
      <c r="F19" s="18"/>
      <c r="G19" s="16"/>
      <c r="H19" s="16"/>
      <c r="I19" s="16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2.5" customHeight="1" x14ac:dyDescent="0.2">
      <c r="A20" s="15" t="str">
        <v>Leaning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6" t="s">
        <v>217</v>
      </c>
      <c r="X20" s="18"/>
      <c r="Y20" s="18"/>
      <c r="Z20" s="18"/>
    </row>
    <row r="21" spans="1:26" ht="22.5" customHeight="1" x14ac:dyDescent="0.2">
      <c r="A21" s="15" t="str">
        <v>DemolitionOfLayers_Depth_Max</v>
      </c>
      <c r="B21" s="18"/>
      <c r="C21" s="18"/>
      <c r="D21" s="16" t="s">
        <v>217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2.5" customHeight="1" x14ac:dyDescent="0.2">
      <c r="A22" s="15" t="str">
        <v>Demolition</v>
      </c>
      <c r="B22" s="16"/>
      <c r="C22" s="16" t="s">
        <v>217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2">
      <c r="A23" s="15" t="str">
        <v>Excavation</v>
      </c>
      <c r="B23" s="16" t="s">
        <v>204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x14ac:dyDescent="0.2">
      <c r="A24" s="15" t="str">
        <v>Infill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6" t="s">
        <v>217</v>
      </c>
      <c r="Y24" s="18"/>
      <c r="Z24" s="18"/>
    </row>
    <row r="25" spans="1:26" ht="21.6" customHeight="1" x14ac:dyDescent="0.2">
      <c r="A25" s="15" t="str">
        <v>UseAsADuctSpace_Side_Max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6" t="s">
        <v>225</v>
      </c>
      <c r="Z25" s="18"/>
    </row>
    <row r="26" spans="1:26" ht="21.6" customHeight="1" x14ac:dyDescent="0.2">
      <c r="A26" s="15" t="str">
        <v>UseAsADuctSpace_Side_Min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6" t="s">
        <v>226</v>
      </c>
      <c r="Z26" s="18"/>
    </row>
  </sheetData>
  <pageMargins left="0.25" right="0.25" top="0.75" bottom="0.75" header="0.3" footer="0.3"/>
  <pageSetup paperSize="9" scale="71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selection activeCell="L13" sqref="L13"/>
    </sheetView>
  </sheetViews>
  <sheetFormatPr defaultColWidth="8.85546875" defaultRowHeight="15" x14ac:dyDescent="0.25"/>
  <cols>
    <col min="1" max="1" width="4.140625" style="8" bestFit="1" customWidth="1"/>
    <col min="2" max="3" width="11" style="8" bestFit="1" customWidth="1"/>
    <col min="4" max="4" width="8" style="8" bestFit="1" customWidth="1"/>
    <col min="5" max="11" width="6.28515625" style="8" bestFit="1" customWidth="1"/>
    <col min="12" max="20" width="8.85546875" style="8" customWidth="1"/>
    <col min="21" max="16384" width="8.85546875" style="8"/>
  </cols>
  <sheetData>
    <row r="1" spans="1:12" ht="190.5" customHeight="1" x14ac:dyDescent="0.25">
      <c r="A1" s="6" t="s">
        <v>227</v>
      </c>
      <c r="B1" s="11" t="s">
        <v>2</v>
      </c>
      <c r="C1" s="11" t="s">
        <v>9</v>
      </c>
      <c r="D1" s="11" t="s">
        <v>12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21</v>
      </c>
      <c r="K1" s="11" t="s">
        <v>23</v>
      </c>
      <c r="L1" s="10"/>
    </row>
    <row r="2" spans="1:12" x14ac:dyDescent="0.25">
      <c r="A2" s="12">
        <v>0</v>
      </c>
      <c r="B2" s="12" t="s">
        <v>228</v>
      </c>
      <c r="C2" s="12" t="s">
        <v>228</v>
      </c>
      <c r="D2" s="12" t="s">
        <v>228</v>
      </c>
      <c r="E2" s="12" t="s">
        <v>161</v>
      </c>
      <c r="F2" s="12" t="s">
        <v>161</v>
      </c>
      <c r="G2" s="12" t="s">
        <v>161</v>
      </c>
      <c r="H2" s="12" t="s">
        <v>161</v>
      </c>
      <c r="I2" s="12" t="s">
        <v>161</v>
      </c>
      <c r="J2" s="12" t="s">
        <v>161</v>
      </c>
      <c r="K2" s="12" t="s">
        <v>161</v>
      </c>
    </row>
    <row r="3" spans="1:12" x14ac:dyDescent="0.25">
      <c r="A3" s="12">
        <v>1</v>
      </c>
      <c r="B3" s="12" t="s">
        <v>158</v>
      </c>
      <c r="C3" s="12" t="s">
        <v>158</v>
      </c>
      <c r="D3" s="12" t="s">
        <v>164</v>
      </c>
      <c r="E3" s="12" t="s">
        <v>160</v>
      </c>
      <c r="F3" s="12" t="s">
        <v>160</v>
      </c>
      <c r="G3" s="12" t="s">
        <v>160</v>
      </c>
      <c r="H3" s="12" t="s">
        <v>160</v>
      </c>
      <c r="I3" s="12" t="s">
        <v>160</v>
      </c>
      <c r="J3" s="12" t="s">
        <v>160</v>
      </c>
      <c r="K3" s="12" t="s">
        <v>160</v>
      </c>
    </row>
    <row r="4" spans="1:12" x14ac:dyDescent="0.25">
      <c r="A4" s="12">
        <v>2</v>
      </c>
      <c r="B4" s="12" t="s">
        <v>229</v>
      </c>
      <c r="C4" s="12" t="s">
        <v>229</v>
      </c>
      <c r="D4" s="12" t="s">
        <v>159</v>
      </c>
      <c r="E4" s="12"/>
      <c r="F4" s="12"/>
      <c r="G4" s="12"/>
      <c r="H4" s="12"/>
      <c r="I4" s="12"/>
      <c r="J4" s="12"/>
      <c r="K4" s="12"/>
    </row>
    <row r="5" spans="1:12" x14ac:dyDescent="0.25">
      <c r="A5" s="12">
        <v>3</v>
      </c>
      <c r="B5" s="12" t="s">
        <v>230</v>
      </c>
      <c r="C5" s="12" t="s">
        <v>230</v>
      </c>
      <c r="D5" s="12"/>
      <c r="E5" s="12"/>
      <c r="F5" s="12"/>
      <c r="G5" s="12"/>
      <c r="H5" s="12"/>
      <c r="I5" s="12"/>
      <c r="J5" s="12"/>
      <c r="K5" s="12"/>
    </row>
    <row r="6" spans="1:1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1"/>
  <sheetViews>
    <sheetView workbookViewId="0">
      <selection activeCell="D1" sqref="D1"/>
    </sheetView>
  </sheetViews>
  <sheetFormatPr defaultColWidth="23.140625" defaultRowHeight="15" x14ac:dyDescent="0.25"/>
  <cols>
    <col min="1" max="1" width="28.5703125" style="8" bestFit="1" customWidth="1"/>
    <col min="2" max="25" width="4.140625" style="8" bestFit="1" customWidth="1"/>
    <col min="26" max="34" width="23.140625" style="8" customWidth="1"/>
    <col min="35" max="16384" width="23.140625" style="8"/>
  </cols>
  <sheetData>
    <row r="1" spans="1:27" ht="246" customHeight="1" x14ac:dyDescent="0.25">
      <c r="A1" s="6" t="s">
        <v>231</v>
      </c>
      <c r="B1" s="6" t="str">
        <f t="array" ref="B1:Y1">TRANSPOSE(_xlfn.ANCHORARRAY(CONSTRAINTS!A3))</f>
        <v>ThroughHole_Position</v>
      </c>
      <c r="C1" s="6" t="str">
        <v>ThroughHole_Diameter_Max</v>
      </c>
      <c r="D1" s="6" t="str">
        <v>Opening_Reduction_Height_SuspCeiling_Length_Max</v>
      </c>
      <c r="E1" s="6" t="str">
        <v>Opening_Reduction_Height_RaisedFloor_Length_Max</v>
      </c>
      <c r="F1" s="6" t="str">
        <v>Opening_Reduction_Width_Side_Length_Max</v>
      </c>
      <c r="G1" s="6" t="str">
        <v>Perforation_Depth_Max</v>
      </c>
      <c r="H1" s="6" t="str">
        <v>Perforation_Diameter_Max</v>
      </c>
      <c r="I1" s="6" t="str">
        <v>Perforation_Position</v>
      </c>
      <c r="J1" s="6" t="str">
        <v>Perforation_Length</v>
      </c>
      <c r="K1" s="6" t="str">
        <v>Perforation_Width</v>
      </c>
      <c r="L1" s="6" t="str">
        <v>SurfCov_Level</v>
      </c>
      <c r="M1" s="6" t="str">
        <v>CutOut_Depth_Max</v>
      </c>
      <c r="N1" s="6" t="str">
        <v>CutOut_Width_Max</v>
      </c>
      <c r="O1" s="6" t="str">
        <v>Attic_IsAccessible</v>
      </c>
      <c r="P1" s="6" t="str">
        <v>Attic_IsWalkable</v>
      </c>
      <c r="Q1" s="6" t="str">
        <v>AtticFloor_CanBeCovered</v>
      </c>
      <c r="R1" s="6" t="str">
        <v>Bonding</v>
      </c>
      <c r="S1" s="6" t="str">
        <v>Leaning</v>
      </c>
      <c r="T1" s="6" t="str">
        <v>DemolitionOfLayers_Depth_Max</v>
      </c>
      <c r="U1" s="6" t="str">
        <v>Demolition</v>
      </c>
      <c r="V1" s="6" t="str">
        <v>Excavation</v>
      </c>
      <c r="W1" s="6" t="str">
        <v>Infill</v>
      </c>
      <c r="X1" s="6" t="str">
        <v>UseAsADuctSpace_Side_Max</v>
      </c>
      <c r="Y1" s="6" t="str">
        <v>UseAsADuctSpace_Side_Min</v>
      </c>
      <c r="Z1" s="7"/>
      <c r="AA1" s="7"/>
    </row>
    <row r="2" spans="1:27" x14ac:dyDescent="0.25">
      <c r="A2" s="9" t="s">
        <v>157</v>
      </c>
      <c r="B2" s="9">
        <v>1</v>
      </c>
      <c r="C2" s="9">
        <v>1</v>
      </c>
      <c r="D2" s="9">
        <v>0</v>
      </c>
      <c r="E2" s="9">
        <v>0</v>
      </c>
      <c r="F2" s="9">
        <v>0</v>
      </c>
      <c r="G2" s="9">
        <v>1</v>
      </c>
      <c r="H2" s="9">
        <v>1</v>
      </c>
      <c r="I2" s="9">
        <v>1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0</v>
      </c>
      <c r="P2" s="9">
        <v>0</v>
      </c>
      <c r="Q2" s="9">
        <v>0</v>
      </c>
      <c r="R2" s="9">
        <v>1</v>
      </c>
      <c r="S2" s="9">
        <v>1</v>
      </c>
      <c r="T2" s="9">
        <v>1</v>
      </c>
      <c r="U2" s="9">
        <v>1</v>
      </c>
      <c r="V2" s="9">
        <v>1</v>
      </c>
      <c r="W2" s="9">
        <v>0</v>
      </c>
      <c r="X2" s="9">
        <v>0</v>
      </c>
      <c r="Y2" s="9">
        <v>0</v>
      </c>
    </row>
    <row r="3" spans="1:27" x14ac:dyDescent="0.25">
      <c r="A3" s="9" t="s">
        <v>163</v>
      </c>
      <c r="B3" s="9">
        <v>1</v>
      </c>
      <c r="C3" s="9">
        <v>1</v>
      </c>
      <c r="D3" s="9">
        <v>0</v>
      </c>
      <c r="E3" s="9">
        <v>0</v>
      </c>
      <c r="F3" s="9">
        <v>0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0</v>
      </c>
      <c r="P3" s="9">
        <v>0</v>
      </c>
      <c r="Q3" s="9">
        <v>0</v>
      </c>
      <c r="R3" s="9">
        <v>1</v>
      </c>
      <c r="S3" s="9">
        <v>1</v>
      </c>
      <c r="T3" s="9">
        <v>1</v>
      </c>
      <c r="U3" s="9">
        <v>1</v>
      </c>
      <c r="V3" s="9">
        <v>0</v>
      </c>
      <c r="W3" s="9">
        <v>0</v>
      </c>
      <c r="X3" s="9">
        <v>0</v>
      </c>
      <c r="Y3" s="9">
        <v>0</v>
      </c>
    </row>
    <row r="4" spans="1:27" x14ac:dyDescent="0.25">
      <c r="A4" s="9" t="s">
        <v>166</v>
      </c>
      <c r="B4" s="9">
        <v>1</v>
      </c>
      <c r="C4" s="9">
        <v>1</v>
      </c>
      <c r="D4" s="9">
        <v>0</v>
      </c>
      <c r="E4" s="9">
        <v>0</v>
      </c>
      <c r="F4" s="9">
        <v>0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0</v>
      </c>
      <c r="W4" s="9">
        <v>0</v>
      </c>
      <c r="X4" s="9">
        <v>0</v>
      </c>
      <c r="Y4" s="9">
        <v>0</v>
      </c>
    </row>
    <row r="5" spans="1:27" x14ac:dyDescent="0.25">
      <c r="A5" s="9" t="s">
        <v>168</v>
      </c>
      <c r="B5" s="9">
        <v>1</v>
      </c>
      <c r="C5" s="9">
        <v>1</v>
      </c>
      <c r="D5" s="9">
        <v>0</v>
      </c>
      <c r="E5" s="9">
        <v>0</v>
      </c>
      <c r="F5" s="9">
        <v>0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0</v>
      </c>
      <c r="R5" s="9">
        <v>1</v>
      </c>
      <c r="S5" s="9">
        <v>1</v>
      </c>
      <c r="T5" s="9">
        <v>1</v>
      </c>
      <c r="U5" s="9">
        <v>1</v>
      </c>
      <c r="V5" s="9">
        <v>0</v>
      </c>
      <c r="W5" s="9">
        <v>0</v>
      </c>
      <c r="X5" s="9">
        <v>0</v>
      </c>
      <c r="Y5" s="9">
        <v>0</v>
      </c>
    </row>
    <row r="6" spans="1:27" x14ac:dyDescent="0.25">
      <c r="A6" s="9" t="s">
        <v>170</v>
      </c>
      <c r="B6" s="9">
        <v>1</v>
      </c>
      <c r="C6" s="9">
        <v>1</v>
      </c>
      <c r="D6" s="9">
        <v>0</v>
      </c>
      <c r="E6" s="9">
        <v>0</v>
      </c>
      <c r="F6" s="9">
        <v>0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0</v>
      </c>
      <c r="P6" s="9">
        <v>0</v>
      </c>
      <c r="Q6" s="9">
        <v>0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0</v>
      </c>
      <c r="X6" s="9">
        <v>0</v>
      </c>
      <c r="Y6" s="9">
        <v>0</v>
      </c>
    </row>
    <row r="7" spans="1:27" x14ac:dyDescent="0.25">
      <c r="A7" s="9" t="s">
        <v>172</v>
      </c>
      <c r="B7" s="9">
        <v>1</v>
      </c>
      <c r="C7" s="9">
        <v>1</v>
      </c>
      <c r="D7" s="9">
        <v>0</v>
      </c>
      <c r="E7" s="9">
        <v>0</v>
      </c>
      <c r="F7" s="9">
        <v>0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0</v>
      </c>
      <c r="P7" s="9">
        <v>0</v>
      </c>
      <c r="Q7" s="9">
        <v>0</v>
      </c>
      <c r="R7" s="9">
        <v>1</v>
      </c>
      <c r="S7" s="9">
        <v>1</v>
      </c>
      <c r="T7" s="9">
        <v>1</v>
      </c>
      <c r="U7" s="9">
        <v>1</v>
      </c>
      <c r="V7" s="9">
        <v>0</v>
      </c>
      <c r="W7" s="9">
        <v>0</v>
      </c>
      <c r="X7" s="9">
        <v>0</v>
      </c>
      <c r="Y7" s="9">
        <v>0</v>
      </c>
    </row>
    <row r="8" spans="1:27" x14ac:dyDescent="0.25">
      <c r="A8" s="9" t="s">
        <v>174</v>
      </c>
      <c r="B8" s="9">
        <v>1</v>
      </c>
      <c r="C8" s="9">
        <v>1</v>
      </c>
      <c r="D8" s="9">
        <v>0</v>
      </c>
      <c r="E8" s="9">
        <v>0</v>
      </c>
      <c r="F8" s="9">
        <v>0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9">
        <v>0</v>
      </c>
      <c r="W8" s="9">
        <v>0</v>
      </c>
      <c r="X8" s="9">
        <v>0</v>
      </c>
      <c r="Y8" s="9">
        <v>0</v>
      </c>
    </row>
    <row r="9" spans="1:27" x14ac:dyDescent="0.25">
      <c r="A9" s="9" t="s">
        <v>168</v>
      </c>
      <c r="B9" s="9">
        <v>1</v>
      </c>
      <c r="C9" s="9">
        <v>1</v>
      </c>
      <c r="D9" s="9">
        <v>0</v>
      </c>
      <c r="E9" s="9">
        <v>0</v>
      </c>
      <c r="F9" s="9">
        <v>0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0</v>
      </c>
      <c r="R9" s="9">
        <v>1</v>
      </c>
      <c r="S9" s="9">
        <v>1</v>
      </c>
      <c r="T9" s="9">
        <v>1</v>
      </c>
      <c r="U9" s="9">
        <v>1</v>
      </c>
      <c r="V9" s="9">
        <v>0</v>
      </c>
      <c r="W9" s="9">
        <v>0</v>
      </c>
      <c r="X9" s="9">
        <v>0</v>
      </c>
      <c r="Y9" s="9">
        <v>0</v>
      </c>
    </row>
    <row r="10" spans="1:27" x14ac:dyDescent="0.25">
      <c r="A10" s="9" t="s">
        <v>175</v>
      </c>
      <c r="B10" s="9">
        <v>0</v>
      </c>
      <c r="C10" s="9">
        <v>0</v>
      </c>
      <c r="D10" s="9">
        <v>1</v>
      </c>
      <c r="E10" s="9">
        <v>1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1</v>
      </c>
      <c r="T10" s="9">
        <v>0</v>
      </c>
      <c r="U10" s="9">
        <v>1</v>
      </c>
      <c r="V10" s="9">
        <v>0</v>
      </c>
      <c r="W10" s="9">
        <v>1</v>
      </c>
      <c r="X10" s="9">
        <v>1</v>
      </c>
      <c r="Y10" s="9">
        <v>1</v>
      </c>
    </row>
    <row r="11" spans="1:27" x14ac:dyDescent="0.25">
      <c r="A11" s="9" t="s">
        <v>176</v>
      </c>
      <c r="B11" s="9">
        <v>1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0</v>
      </c>
      <c r="P11" s="9">
        <v>0</v>
      </c>
      <c r="Q11" s="9">
        <v>0</v>
      </c>
      <c r="R11" s="9">
        <v>1</v>
      </c>
      <c r="S11" s="9">
        <v>1</v>
      </c>
      <c r="T11" s="9">
        <v>1</v>
      </c>
      <c r="U11" s="9">
        <v>0</v>
      </c>
      <c r="V11" s="9">
        <v>0</v>
      </c>
      <c r="W11" s="9">
        <v>1</v>
      </c>
      <c r="X11" s="9">
        <v>1</v>
      </c>
      <c r="Y11" s="9">
        <v>1</v>
      </c>
    </row>
  </sheetData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F9" sqref="F9"/>
    </sheetView>
  </sheetViews>
  <sheetFormatPr defaultRowHeight="15" x14ac:dyDescent="0.25"/>
  <sheetData>
    <row r="1" spans="1:6" x14ac:dyDescent="0.25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</row>
    <row r="2" spans="1:6" x14ac:dyDescent="0.25">
      <c r="A2">
        <v>1</v>
      </c>
      <c r="B2">
        <v>0.03</v>
      </c>
      <c r="C2">
        <v>0.02</v>
      </c>
      <c r="D2">
        <v>0.04</v>
      </c>
      <c r="E2">
        <v>0.05</v>
      </c>
      <c r="F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20"/>
  <sheetViews>
    <sheetView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>
        <v>0</v>
      </c>
      <c r="D2">
        <v>0</v>
      </c>
      <c r="T2">
        <v>0</v>
      </c>
      <c r="V2">
        <v>0</v>
      </c>
    </row>
    <row r="3" spans="1:26" x14ac:dyDescent="0.25">
      <c r="A3" t="s">
        <v>28</v>
      </c>
      <c r="B3" t="s">
        <v>29</v>
      </c>
      <c r="E3">
        <v>0</v>
      </c>
      <c r="F3">
        <v>0</v>
      </c>
      <c r="G3">
        <v>0</v>
      </c>
      <c r="V3">
        <v>0</v>
      </c>
      <c r="X3">
        <v>0</v>
      </c>
    </row>
    <row r="4" spans="1:26" x14ac:dyDescent="0.25">
      <c r="A4" t="s">
        <v>30</v>
      </c>
      <c r="B4" t="s">
        <v>29</v>
      </c>
      <c r="E4">
        <v>0</v>
      </c>
      <c r="F4">
        <v>0</v>
      </c>
      <c r="G4">
        <v>0</v>
      </c>
      <c r="V4">
        <v>0</v>
      </c>
      <c r="X4">
        <v>0</v>
      </c>
    </row>
    <row r="5" spans="1:26" x14ac:dyDescent="0.25">
      <c r="A5" t="s">
        <v>31</v>
      </c>
      <c r="B5" t="s">
        <v>29</v>
      </c>
      <c r="E5">
        <v>0</v>
      </c>
      <c r="F5">
        <v>0</v>
      </c>
      <c r="G5">
        <v>0</v>
      </c>
      <c r="V5">
        <v>0</v>
      </c>
      <c r="X5">
        <v>0</v>
      </c>
    </row>
    <row r="6" spans="1:26" x14ac:dyDescent="0.25">
      <c r="A6" t="s">
        <v>32</v>
      </c>
      <c r="B6" t="s">
        <v>33</v>
      </c>
      <c r="C6">
        <v>0</v>
      </c>
      <c r="D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S6">
        <v>0</v>
      </c>
      <c r="T6">
        <v>0</v>
      </c>
      <c r="U6">
        <v>0</v>
      </c>
      <c r="V6">
        <v>0</v>
      </c>
    </row>
    <row r="7" spans="1:26" x14ac:dyDescent="0.25">
      <c r="A7" t="s">
        <v>34</v>
      </c>
      <c r="B7" t="s">
        <v>33</v>
      </c>
      <c r="C7">
        <v>0</v>
      </c>
      <c r="D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S7">
        <v>0</v>
      </c>
      <c r="T7">
        <v>0</v>
      </c>
      <c r="U7">
        <v>0</v>
      </c>
      <c r="V7">
        <v>0</v>
      </c>
    </row>
    <row r="8" spans="1:26" x14ac:dyDescent="0.25">
      <c r="A8" t="s">
        <v>35</v>
      </c>
      <c r="B8" t="s">
        <v>33</v>
      </c>
      <c r="C8">
        <v>0</v>
      </c>
      <c r="D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S8">
        <v>0</v>
      </c>
      <c r="T8">
        <v>0</v>
      </c>
      <c r="U8">
        <v>0</v>
      </c>
      <c r="V8">
        <v>0</v>
      </c>
    </row>
    <row r="9" spans="1:26" x14ac:dyDescent="0.25">
      <c r="A9" t="s">
        <v>36</v>
      </c>
      <c r="B9" t="s">
        <v>33</v>
      </c>
      <c r="C9">
        <v>0</v>
      </c>
      <c r="D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S9">
        <v>0</v>
      </c>
      <c r="T9">
        <v>0</v>
      </c>
      <c r="U9">
        <v>0</v>
      </c>
      <c r="V9">
        <v>0</v>
      </c>
    </row>
    <row r="10" spans="1:26" x14ac:dyDescent="0.25">
      <c r="A10" t="s">
        <v>37</v>
      </c>
      <c r="B10" t="s">
        <v>33</v>
      </c>
      <c r="C10">
        <v>0</v>
      </c>
      <c r="D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S10">
        <v>0</v>
      </c>
      <c r="T10">
        <v>0</v>
      </c>
      <c r="U10">
        <v>0</v>
      </c>
      <c r="V10">
        <v>0</v>
      </c>
    </row>
    <row r="11" spans="1:26" x14ac:dyDescent="0.25">
      <c r="A11" t="s">
        <v>38</v>
      </c>
      <c r="B11" t="s">
        <v>33</v>
      </c>
      <c r="C11">
        <v>0</v>
      </c>
      <c r="D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S11">
        <v>0</v>
      </c>
      <c r="T11">
        <v>0</v>
      </c>
      <c r="U11">
        <v>0</v>
      </c>
      <c r="V11">
        <v>0</v>
      </c>
    </row>
    <row r="12" spans="1:26" x14ac:dyDescent="0.25">
      <c r="A12" t="s">
        <v>39</v>
      </c>
      <c r="B12" t="s">
        <v>33</v>
      </c>
      <c r="C12">
        <v>0</v>
      </c>
      <c r="D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S12">
        <v>0</v>
      </c>
      <c r="T12">
        <v>0</v>
      </c>
      <c r="U12">
        <v>0</v>
      </c>
      <c r="V12">
        <v>0</v>
      </c>
    </row>
    <row r="13" spans="1:26" x14ac:dyDescent="0.25">
      <c r="A13" t="s">
        <v>40</v>
      </c>
      <c r="B13" t="s">
        <v>33</v>
      </c>
      <c r="C13">
        <v>0</v>
      </c>
      <c r="D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S13">
        <v>0</v>
      </c>
      <c r="T13">
        <v>0</v>
      </c>
      <c r="U13">
        <v>0</v>
      </c>
      <c r="V13">
        <v>0</v>
      </c>
    </row>
    <row r="14" spans="1:26" x14ac:dyDescent="0.25">
      <c r="A14" t="s">
        <v>41</v>
      </c>
      <c r="B14" t="s">
        <v>33</v>
      </c>
      <c r="C14">
        <v>0</v>
      </c>
      <c r="D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S14">
        <v>0</v>
      </c>
      <c r="T14">
        <v>0</v>
      </c>
      <c r="U14">
        <v>0</v>
      </c>
      <c r="V14">
        <v>0</v>
      </c>
    </row>
    <row r="15" spans="1:26" x14ac:dyDescent="0.25">
      <c r="A15" t="s">
        <v>42</v>
      </c>
      <c r="B15" t="s">
        <v>33</v>
      </c>
      <c r="C15">
        <v>0</v>
      </c>
      <c r="D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S15">
        <v>0</v>
      </c>
      <c r="T15">
        <v>0</v>
      </c>
      <c r="U15">
        <v>0</v>
      </c>
      <c r="V15">
        <v>0</v>
      </c>
    </row>
    <row r="16" spans="1:26" x14ac:dyDescent="0.25">
      <c r="A16" t="s">
        <v>43</v>
      </c>
      <c r="B16" t="s">
        <v>33</v>
      </c>
      <c r="C16">
        <v>0</v>
      </c>
      <c r="D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S16">
        <v>0</v>
      </c>
      <c r="T16">
        <v>0</v>
      </c>
      <c r="U16">
        <v>0</v>
      </c>
      <c r="V16">
        <v>0</v>
      </c>
    </row>
    <row r="17" spans="1:24" x14ac:dyDescent="0.25">
      <c r="A17" t="s">
        <v>44</v>
      </c>
      <c r="B17" t="s">
        <v>33</v>
      </c>
      <c r="C17">
        <v>0</v>
      </c>
      <c r="D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S17">
        <v>0</v>
      </c>
      <c r="T17">
        <v>0</v>
      </c>
      <c r="U17">
        <v>0</v>
      </c>
      <c r="V17">
        <v>0</v>
      </c>
    </row>
    <row r="18" spans="1:24" x14ac:dyDescent="0.25">
      <c r="A18" t="s">
        <v>45</v>
      </c>
      <c r="B18" t="s">
        <v>33</v>
      </c>
      <c r="C18">
        <v>1</v>
      </c>
      <c r="D18">
        <v>0.08</v>
      </c>
      <c r="H18">
        <v>0</v>
      </c>
      <c r="I18">
        <v>0.03</v>
      </c>
      <c r="J18">
        <v>1</v>
      </c>
      <c r="K18">
        <v>0.12</v>
      </c>
      <c r="L18">
        <v>0.1</v>
      </c>
      <c r="M18">
        <v>1</v>
      </c>
      <c r="N18">
        <v>0.1</v>
      </c>
      <c r="O18">
        <v>0.1</v>
      </c>
      <c r="S18">
        <v>0</v>
      </c>
      <c r="T18">
        <v>1</v>
      </c>
      <c r="U18">
        <v>0.05</v>
      </c>
      <c r="V18">
        <v>0</v>
      </c>
    </row>
    <row r="19" spans="1:24" x14ac:dyDescent="0.25">
      <c r="A19" t="s">
        <v>46</v>
      </c>
      <c r="B19" t="s">
        <v>29</v>
      </c>
      <c r="E19">
        <v>0</v>
      </c>
      <c r="F19">
        <v>0</v>
      </c>
      <c r="G19">
        <v>0</v>
      </c>
      <c r="V19">
        <v>0</v>
      </c>
      <c r="X19">
        <v>0</v>
      </c>
    </row>
    <row r="20" spans="1:24" x14ac:dyDescent="0.25">
      <c r="A20" t="s">
        <v>47</v>
      </c>
      <c r="B20" t="s">
        <v>29</v>
      </c>
      <c r="E20">
        <v>0</v>
      </c>
      <c r="F20">
        <v>0</v>
      </c>
      <c r="G20">
        <v>0</v>
      </c>
      <c r="V20">
        <v>0</v>
      </c>
      <c r="X20">
        <v>0</v>
      </c>
    </row>
    <row r="21" spans="1:24" x14ac:dyDescent="0.25">
      <c r="A21" t="s">
        <v>48</v>
      </c>
      <c r="B21" t="s">
        <v>29</v>
      </c>
      <c r="E21">
        <v>0</v>
      </c>
      <c r="F21">
        <v>0</v>
      </c>
      <c r="G21">
        <v>0</v>
      </c>
      <c r="V21">
        <v>0</v>
      </c>
      <c r="X21">
        <v>0</v>
      </c>
    </row>
    <row r="22" spans="1:24" x14ac:dyDescent="0.25">
      <c r="A22" t="s">
        <v>49</v>
      </c>
      <c r="B22" t="s">
        <v>50</v>
      </c>
      <c r="C22">
        <v>0</v>
      </c>
      <c r="D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0</v>
      </c>
    </row>
    <row r="23" spans="1:24" x14ac:dyDescent="0.25">
      <c r="A23" t="s">
        <v>51</v>
      </c>
      <c r="B23" t="s">
        <v>50</v>
      </c>
      <c r="C23">
        <v>0</v>
      </c>
      <c r="D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0</v>
      </c>
    </row>
    <row r="24" spans="1:24" x14ac:dyDescent="0.25">
      <c r="A24" t="s">
        <v>52</v>
      </c>
      <c r="B24" t="s">
        <v>29</v>
      </c>
      <c r="E24">
        <v>0</v>
      </c>
      <c r="F24">
        <v>0</v>
      </c>
      <c r="G24">
        <v>0</v>
      </c>
      <c r="V24">
        <v>0</v>
      </c>
      <c r="X24">
        <v>0</v>
      </c>
    </row>
    <row r="25" spans="1:24" x14ac:dyDescent="0.25">
      <c r="A25" t="s">
        <v>53</v>
      </c>
      <c r="B25" t="s">
        <v>50</v>
      </c>
      <c r="C25">
        <v>0</v>
      </c>
      <c r="D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0</v>
      </c>
    </row>
    <row r="26" spans="1:24" x14ac:dyDescent="0.25">
      <c r="A26" t="s">
        <v>54</v>
      </c>
      <c r="B26" t="s">
        <v>33</v>
      </c>
      <c r="C26">
        <v>1</v>
      </c>
      <c r="D26">
        <v>0.08</v>
      </c>
      <c r="H26">
        <v>0</v>
      </c>
      <c r="I26">
        <v>0.03</v>
      </c>
      <c r="J26">
        <v>1</v>
      </c>
      <c r="K26">
        <v>0.12</v>
      </c>
      <c r="L26">
        <v>0.1</v>
      </c>
      <c r="M26">
        <v>1</v>
      </c>
      <c r="N26">
        <v>0.1</v>
      </c>
      <c r="O26">
        <v>0.1</v>
      </c>
      <c r="S26">
        <v>0</v>
      </c>
      <c r="T26">
        <v>1</v>
      </c>
      <c r="U26">
        <v>0.05</v>
      </c>
      <c r="V26">
        <v>0</v>
      </c>
    </row>
    <row r="27" spans="1:24" x14ac:dyDescent="0.25">
      <c r="A27" t="s">
        <v>55</v>
      </c>
      <c r="B27" t="s">
        <v>33</v>
      </c>
      <c r="C27">
        <v>1</v>
      </c>
      <c r="D27">
        <v>0.08</v>
      </c>
      <c r="H27">
        <v>0</v>
      </c>
      <c r="I27">
        <v>0.03</v>
      </c>
      <c r="J27">
        <v>1</v>
      </c>
      <c r="K27">
        <v>0.12</v>
      </c>
      <c r="L27">
        <v>0.1</v>
      </c>
      <c r="M27">
        <v>1</v>
      </c>
      <c r="N27">
        <v>0.1</v>
      </c>
      <c r="O27">
        <v>0.1</v>
      </c>
      <c r="S27">
        <v>0</v>
      </c>
      <c r="T27">
        <v>1</v>
      </c>
      <c r="U27">
        <v>0.05</v>
      </c>
      <c r="V27">
        <v>0</v>
      </c>
    </row>
    <row r="28" spans="1:24" x14ac:dyDescent="0.25">
      <c r="A28" t="s">
        <v>56</v>
      </c>
      <c r="B28" t="s">
        <v>33</v>
      </c>
      <c r="C28">
        <v>1</v>
      </c>
      <c r="D28">
        <v>0.08</v>
      </c>
      <c r="H28">
        <v>0</v>
      </c>
      <c r="I28">
        <v>0.03</v>
      </c>
      <c r="J28">
        <v>1</v>
      </c>
      <c r="K28">
        <v>0.12</v>
      </c>
      <c r="L28">
        <v>0.1</v>
      </c>
      <c r="M28">
        <v>1</v>
      </c>
      <c r="N28">
        <v>0.1</v>
      </c>
      <c r="O28">
        <v>0.1</v>
      </c>
      <c r="S28">
        <v>0</v>
      </c>
      <c r="T28">
        <v>1</v>
      </c>
      <c r="U28">
        <v>0.05</v>
      </c>
      <c r="V28">
        <v>0</v>
      </c>
    </row>
    <row r="29" spans="1:24" x14ac:dyDescent="0.25">
      <c r="A29" t="s">
        <v>57</v>
      </c>
      <c r="B29" t="s">
        <v>33</v>
      </c>
      <c r="C29">
        <v>1</v>
      </c>
      <c r="D29">
        <v>0.08</v>
      </c>
      <c r="H29">
        <v>0</v>
      </c>
      <c r="I29">
        <v>0.03</v>
      </c>
      <c r="J29">
        <v>1</v>
      </c>
      <c r="K29">
        <v>0.12</v>
      </c>
      <c r="L29">
        <v>0.1</v>
      </c>
      <c r="M29">
        <v>1</v>
      </c>
      <c r="N29">
        <v>0.1</v>
      </c>
      <c r="O29">
        <v>0.1</v>
      </c>
      <c r="S29">
        <v>0</v>
      </c>
      <c r="T29">
        <v>1</v>
      </c>
      <c r="U29">
        <v>0.05</v>
      </c>
      <c r="V29">
        <v>0</v>
      </c>
    </row>
    <row r="30" spans="1:24" x14ac:dyDescent="0.25">
      <c r="A30" t="s">
        <v>58</v>
      </c>
      <c r="B30" t="s">
        <v>27</v>
      </c>
      <c r="C30">
        <v>0</v>
      </c>
      <c r="D30">
        <v>0</v>
      </c>
      <c r="T30">
        <v>0</v>
      </c>
      <c r="V30">
        <v>0</v>
      </c>
    </row>
    <row r="31" spans="1:24" x14ac:dyDescent="0.25">
      <c r="A31" t="s">
        <v>59</v>
      </c>
      <c r="B31" t="s">
        <v>33</v>
      </c>
      <c r="C31">
        <v>0</v>
      </c>
      <c r="D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S31">
        <v>0</v>
      </c>
      <c r="T31">
        <v>0</v>
      </c>
      <c r="U31">
        <v>0</v>
      </c>
      <c r="V31">
        <v>0</v>
      </c>
    </row>
    <row r="32" spans="1:24" x14ac:dyDescent="0.25">
      <c r="A32" t="s">
        <v>60</v>
      </c>
      <c r="B32" t="s">
        <v>33</v>
      </c>
      <c r="C32">
        <v>0</v>
      </c>
      <c r="D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61</v>
      </c>
      <c r="B33" t="s">
        <v>33</v>
      </c>
      <c r="C33">
        <v>0</v>
      </c>
      <c r="D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62</v>
      </c>
      <c r="B34" t="s">
        <v>33</v>
      </c>
      <c r="C34">
        <v>0</v>
      </c>
      <c r="D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63</v>
      </c>
      <c r="B35" t="s">
        <v>33</v>
      </c>
      <c r="C35">
        <v>0</v>
      </c>
      <c r="D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64</v>
      </c>
      <c r="B36" t="s">
        <v>33</v>
      </c>
      <c r="C36">
        <v>0</v>
      </c>
      <c r="D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65</v>
      </c>
      <c r="B37" t="s">
        <v>33</v>
      </c>
      <c r="C37">
        <v>0</v>
      </c>
      <c r="D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66</v>
      </c>
      <c r="B38" t="s">
        <v>33</v>
      </c>
      <c r="C38">
        <v>0</v>
      </c>
      <c r="D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67</v>
      </c>
      <c r="B39" t="s">
        <v>33</v>
      </c>
      <c r="C39">
        <v>0</v>
      </c>
      <c r="D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68</v>
      </c>
      <c r="B40" t="s">
        <v>33</v>
      </c>
      <c r="C40">
        <v>0</v>
      </c>
      <c r="D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69</v>
      </c>
      <c r="B41" t="s">
        <v>33</v>
      </c>
      <c r="C41">
        <v>0</v>
      </c>
      <c r="D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70</v>
      </c>
      <c r="B42" t="s">
        <v>33</v>
      </c>
      <c r="C42">
        <v>0</v>
      </c>
      <c r="D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71</v>
      </c>
      <c r="B43" t="s">
        <v>33</v>
      </c>
      <c r="C43">
        <v>0</v>
      </c>
      <c r="D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72</v>
      </c>
      <c r="B44" t="s">
        <v>33</v>
      </c>
      <c r="C44">
        <v>0</v>
      </c>
      <c r="D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73</v>
      </c>
      <c r="B45" t="s">
        <v>33</v>
      </c>
      <c r="C45">
        <v>0</v>
      </c>
      <c r="D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74</v>
      </c>
      <c r="B46" t="s">
        <v>33</v>
      </c>
      <c r="C46">
        <v>0</v>
      </c>
      <c r="D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75</v>
      </c>
      <c r="B47" t="s">
        <v>33</v>
      </c>
      <c r="C47">
        <v>0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76</v>
      </c>
      <c r="B48" t="s">
        <v>33</v>
      </c>
      <c r="C48">
        <v>0</v>
      </c>
      <c r="D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S48">
        <v>0</v>
      </c>
      <c r="T48">
        <v>0</v>
      </c>
      <c r="U48">
        <v>0</v>
      </c>
      <c r="V48">
        <v>0</v>
      </c>
    </row>
    <row r="49" spans="1:24" x14ac:dyDescent="0.25">
      <c r="A49" t="s">
        <v>77</v>
      </c>
      <c r="B49" t="s">
        <v>33</v>
      </c>
      <c r="C49">
        <v>0</v>
      </c>
      <c r="D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S49">
        <v>0</v>
      </c>
      <c r="T49">
        <v>0</v>
      </c>
      <c r="U49">
        <v>0</v>
      </c>
      <c r="V49">
        <v>0</v>
      </c>
    </row>
    <row r="50" spans="1:24" x14ac:dyDescent="0.25">
      <c r="A50" t="s">
        <v>78</v>
      </c>
      <c r="B50" t="s">
        <v>33</v>
      </c>
      <c r="C50">
        <v>0</v>
      </c>
      <c r="D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S50">
        <v>0</v>
      </c>
      <c r="T50">
        <v>0</v>
      </c>
      <c r="U50">
        <v>0</v>
      </c>
      <c r="V50">
        <v>0</v>
      </c>
    </row>
    <row r="51" spans="1:24" x14ac:dyDescent="0.25">
      <c r="A51" t="s">
        <v>79</v>
      </c>
      <c r="B51" t="s">
        <v>33</v>
      </c>
      <c r="C51">
        <v>0</v>
      </c>
      <c r="D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S51">
        <v>0</v>
      </c>
      <c r="T51">
        <v>0</v>
      </c>
      <c r="U51">
        <v>0</v>
      </c>
      <c r="V51">
        <v>0</v>
      </c>
    </row>
    <row r="52" spans="1:24" x14ac:dyDescent="0.25">
      <c r="A52" t="s">
        <v>80</v>
      </c>
      <c r="B52" t="s">
        <v>33</v>
      </c>
      <c r="C52">
        <v>0</v>
      </c>
      <c r="D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S52">
        <v>0</v>
      </c>
      <c r="T52">
        <v>0</v>
      </c>
      <c r="U52">
        <v>0</v>
      </c>
      <c r="V52">
        <v>0</v>
      </c>
    </row>
    <row r="53" spans="1:24" x14ac:dyDescent="0.25">
      <c r="A53" t="s">
        <v>81</v>
      </c>
      <c r="B53" t="s">
        <v>33</v>
      </c>
      <c r="C53">
        <v>0</v>
      </c>
      <c r="D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S53">
        <v>0</v>
      </c>
      <c r="T53">
        <v>0</v>
      </c>
      <c r="U53">
        <v>0</v>
      </c>
      <c r="V53">
        <v>0</v>
      </c>
    </row>
    <row r="54" spans="1:24" x14ac:dyDescent="0.25">
      <c r="A54" t="s">
        <v>82</v>
      </c>
      <c r="B54" t="s">
        <v>33</v>
      </c>
      <c r="C54">
        <v>1</v>
      </c>
      <c r="D54">
        <v>0.08</v>
      </c>
      <c r="H54">
        <v>0</v>
      </c>
      <c r="I54">
        <v>0.03</v>
      </c>
      <c r="J54">
        <v>1</v>
      </c>
      <c r="K54">
        <v>0.12</v>
      </c>
      <c r="L54">
        <v>0.1</v>
      </c>
      <c r="M54">
        <v>1</v>
      </c>
      <c r="N54">
        <v>0.1</v>
      </c>
      <c r="O54">
        <v>0.1</v>
      </c>
      <c r="S54">
        <v>0</v>
      </c>
      <c r="T54">
        <v>1</v>
      </c>
      <c r="U54">
        <v>0.05</v>
      </c>
      <c r="V54">
        <v>0</v>
      </c>
    </row>
    <row r="55" spans="1:24" x14ac:dyDescent="0.25">
      <c r="A55" t="s">
        <v>83</v>
      </c>
      <c r="B55" t="s">
        <v>33</v>
      </c>
      <c r="C55">
        <v>1</v>
      </c>
      <c r="D55">
        <v>0.08</v>
      </c>
      <c r="H55">
        <v>0</v>
      </c>
      <c r="I55">
        <v>0.03</v>
      </c>
      <c r="J55">
        <v>1</v>
      </c>
      <c r="K55">
        <v>0.12</v>
      </c>
      <c r="L55">
        <v>0.1</v>
      </c>
      <c r="M55">
        <v>1</v>
      </c>
      <c r="N55">
        <v>0.1</v>
      </c>
      <c r="O55">
        <v>0.1</v>
      </c>
      <c r="S55">
        <v>0</v>
      </c>
      <c r="T55">
        <v>1</v>
      </c>
      <c r="U55">
        <v>0.05</v>
      </c>
      <c r="V55">
        <v>0</v>
      </c>
    </row>
    <row r="56" spans="1:24" x14ac:dyDescent="0.25">
      <c r="A56" t="s">
        <v>84</v>
      </c>
      <c r="B56" t="s">
        <v>33</v>
      </c>
      <c r="C56">
        <v>1</v>
      </c>
      <c r="D56">
        <v>0.08</v>
      </c>
      <c r="H56">
        <v>0</v>
      </c>
      <c r="I56">
        <v>0.03</v>
      </c>
      <c r="J56">
        <v>1</v>
      </c>
      <c r="K56">
        <v>0.12</v>
      </c>
      <c r="L56">
        <v>0.1</v>
      </c>
      <c r="M56">
        <v>1</v>
      </c>
      <c r="N56">
        <v>0.1</v>
      </c>
      <c r="O56">
        <v>0.1</v>
      </c>
      <c r="S56">
        <v>0</v>
      </c>
      <c r="T56">
        <v>1</v>
      </c>
      <c r="U56">
        <v>0.05</v>
      </c>
      <c r="V56">
        <v>0</v>
      </c>
    </row>
    <row r="57" spans="1:24" x14ac:dyDescent="0.25">
      <c r="A57" t="s">
        <v>85</v>
      </c>
      <c r="B57" t="s">
        <v>33</v>
      </c>
      <c r="C57">
        <v>1</v>
      </c>
      <c r="D57">
        <v>0.08</v>
      </c>
      <c r="H57">
        <v>0</v>
      </c>
      <c r="I57">
        <v>0.03</v>
      </c>
      <c r="J57">
        <v>1</v>
      </c>
      <c r="K57">
        <v>0.12</v>
      </c>
      <c r="L57">
        <v>0.1</v>
      </c>
      <c r="M57">
        <v>1</v>
      </c>
      <c r="N57">
        <v>0.1</v>
      </c>
      <c r="O57">
        <v>0.1</v>
      </c>
      <c r="S57">
        <v>0</v>
      </c>
      <c r="T57">
        <v>1</v>
      </c>
      <c r="U57">
        <v>0.05</v>
      </c>
      <c r="V57">
        <v>0</v>
      </c>
    </row>
    <row r="58" spans="1:24" x14ac:dyDescent="0.25">
      <c r="A58" t="s">
        <v>86</v>
      </c>
      <c r="B58" t="s">
        <v>33</v>
      </c>
      <c r="C58">
        <v>1</v>
      </c>
      <c r="D58">
        <v>0.08</v>
      </c>
      <c r="H58">
        <v>0</v>
      </c>
      <c r="I58">
        <v>0.03</v>
      </c>
      <c r="J58">
        <v>1</v>
      </c>
      <c r="K58">
        <v>0.12</v>
      </c>
      <c r="L58">
        <v>0.1</v>
      </c>
      <c r="M58">
        <v>1</v>
      </c>
      <c r="N58">
        <v>0.1</v>
      </c>
      <c r="O58">
        <v>0.1</v>
      </c>
      <c r="S58">
        <v>0</v>
      </c>
      <c r="T58">
        <v>1</v>
      </c>
      <c r="U58">
        <v>0.05</v>
      </c>
      <c r="V58">
        <v>0</v>
      </c>
    </row>
    <row r="59" spans="1:24" x14ac:dyDescent="0.25">
      <c r="A59" t="s">
        <v>87</v>
      </c>
      <c r="B59" t="s">
        <v>33</v>
      </c>
      <c r="C59">
        <v>1</v>
      </c>
      <c r="D59">
        <v>0.08</v>
      </c>
      <c r="H59">
        <v>0</v>
      </c>
      <c r="I59">
        <v>0.03</v>
      </c>
      <c r="J59">
        <v>1</v>
      </c>
      <c r="K59">
        <v>0.12</v>
      </c>
      <c r="L59">
        <v>0.1</v>
      </c>
      <c r="M59">
        <v>1</v>
      </c>
      <c r="N59">
        <v>0.1</v>
      </c>
      <c r="O59">
        <v>0.1</v>
      </c>
      <c r="S59">
        <v>0</v>
      </c>
      <c r="T59">
        <v>1</v>
      </c>
      <c r="U59">
        <v>0.05</v>
      </c>
      <c r="V59">
        <v>0</v>
      </c>
    </row>
    <row r="60" spans="1:24" x14ac:dyDescent="0.25">
      <c r="A60" t="s">
        <v>88</v>
      </c>
      <c r="B60" t="s">
        <v>33</v>
      </c>
      <c r="C60">
        <v>1</v>
      </c>
      <c r="D60">
        <v>0.08</v>
      </c>
      <c r="H60">
        <v>0</v>
      </c>
      <c r="I60">
        <v>0.03</v>
      </c>
      <c r="J60">
        <v>1</v>
      </c>
      <c r="K60">
        <v>0.12</v>
      </c>
      <c r="L60">
        <v>0.1</v>
      </c>
      <c r="M60">
        <v>1</v>
      </c>
      <c r="N60">
        <v>0.1</v>
      </c>
      <c r="O60">
        <v>0.1</v>
      </c>
      <c r="S60">
        <v>0</v>
      </c>
      <c r="T60">
        <v>1</v>
      </c>
      <c r="U60">
        <v>0.05</v>
      </c>
      <c r="V60">
        <v>0</v>
      </c>
    </row>
    <row r="61" spans="1:24" x14ac:dyDescent="0.25">
      <c r="A61" t="s">
        <v>89</v>
      </c>
      <c r="B61" t="s">
        <v>33</v>
      </c>
      <c r="C61">
        <v>1</v>
      </c>
      <c r="D61">
        <v>0.08</v>
      </c>
      <c r="H61">
        <v>0</v>
      </c>
      <c r="I61">
        <v>0.03</v>
      </c>
      <c r="J61">
        <v>1</v>
      </c>
      <c r="K61">
        <v>0.12</v>
      </c>
      <c r="L61">
        <v>0.1</v>
      </c>
      <c r="M61">
        <v>1</v>
      </c>
      <c r="N61">
        <v>0.1</v>
      </c>
      <c r="O61">
        <v>0.1</v>
      </c>
      <c r="S61">
        <v>0</v>
      </c>
      <c r="T61">
        <v>1</v>
      </c>
      <c r="U61">
        <v>0.05</v>
      </c>
      <c r="V61">
        <v>0</v>
      </c>
    </row>
    <row r="62" spans="1:24" x14ac:dyDescent="0.25">
      <c r="A62" t="s">
        <v>90</v>
      </c>
      <c r="B62" t="s">
        <v>33</v>
      </c>
      <c r="C62">
        <v>1</v>
      </c>
      <c r="D62">
        <v>0.08</v>
      </c>
      <c r="H62">
        <v>0</v>
      </c>
      <c r="I62">
        <v>0.03</v>
      </c>
      <c r="J62">
        <v>1</v>
      </c>
      <c r="K62">
        <v>0.12</v>
      </c>
      <c r="L62">
        <v>0.1</v>
      </c>
      <c r="M62">
        <v>1</v>
      </c>
      <c r="N62">
        <v>0.1</v>
      </c>
      <c r="O62">
        <v>0.1</v>
      </c>
      <c r="S62">
        <v>0</v>
      </c>
      <c r="T62">
        <v>1</v>
      </c>
      <c r="U62">
        <v>0.05</v>
      </c>
      <c r="V62">
        <v>0</v>
      </c>
    </row>
    <row r="63" spans="1:24" x14ac:dyDescent="0.25">
      <c r="A63" t="s">
        <v>91</v>
      </c>
      <c r="B63" t="s">
        <v>29</v>
      </c>
      <c r="E63">
        <v>0</v>
      </c>
      <c r="F63">
        <v>0</v>
      </c>
      <c r="G63">
        <v>0</v>
      </c>
      <c r="V63">
        <v>0</v>
      </c>
      <c r="X63">
        <v>0</v>
      </c>
    </row>
    <row r="64" spans="1:24" x14ac:dyDescent="0.25">
      <c r="A64" t="s">
        <v>92</v>
      </c>
      <c r="B64" t="s">
        <v>29</v>
      </c>
      <c r="E64">
        <v>0</v>
      </c>
      <c r="F64">
        <v>0</v>
      </c>
      <c r="G64">
        <v>0</v>
      </c>
      <c r="V64">
        <v>0</v>
      </c>
      <c r="X64">
        <v>0</v>
      </c>
    </row>
    <row r="65" spans="1:24" x14ac:dyDescent="0.25">
      <c r="A65" t="s">
        <v>93</v>
      </c>
      <c r="B65" t="s">
        <v>29</v>
      </c>
      <c r="E65">
        <v>0</v>
      </c>
      <c r="F65">
        <v>0</v>
      </c>
      <c r="G65">
        <v>0</v>
      </c>
      <c r="V65">
        <v>0</v>
      </c>
      <c r="X65">
        <v>0</v>
      </c>
    </row>
    <row r="66" spans="1:24" x14ac:dyDescent="0.25">
      <c r="A66" t="s">
        <v>94</v>
      </c>
      <c r="B66" t="s">
        <v>29</v>
      </c>
      <c r="E66">
        <v>0</v>
      </c>
      <c r="F66">
        <v>0</v>
      </c>
      <c r="G66">
        <v>0</v>
      </c>
      <c r="V66">
        <v>0</v>
      </c>
      <c r="X66">
        <v>0</v>
      </c>
    </row>
    <row r="67" spans="1:24" x14ac:dyDescent="0.25">
      <c r="A67" t="s">
        <v>95</v>
      </c>
      <c r="B67" t="s">
        <v>29</v>
      </c>
      <c r="E67">
        <v>0</v>
      </c>
      <c r="F67">
        <v>0</v>
      </c>
      <c r="G67">
        <v>0</v>
      </c>
      <c r="V67">
        <v>0</v>
      </c>
      <c r="X67">
        <v>0</v>
      </c>
    </row>
    <row r="68" spans="1:24" x14ac:dyDescent="0.25">
      <c r="A68" t="s">
        <v>96</v>
      </c>
      <c r="B68" t="s">
        <v>33</v>
      </c>
      <c r="C68">
        <v>1</v>
      </c>
      <c r="D68">
        <v>0.08</v>
      </c>
      <c r="H68">
        <v>0</v>
      </c>
      <c r="I68">
        <v>0.03</v>
      </c>
      <c r="J68">
        <v>1</v>
      </c>
      <c r="K68">
        <v>0.12</v>
      </c>
      <c r="L68">
        <v>0.1</v>
      </c>
      <c r="M68">
        <v>1</v>
      </c>
      <c r="N68">
        <v>0.1</v>
      </c>
      <c r="O68">
        <v>0.1</v>
      </c>
      <c r="S68">
        <v>0</v>
      </c>
      <c r="T68">
        <v>1</v>
      </c>
      <c r="U68">
        <v>0.05</v>
      </c>
      <c r="V68">
        <v>0</v>
      </c>
    </row>
    <row r="69" spans="1:24" x14ac:dyDescent="0.25">
      <c r="A69" t="s">
        <v>97</v>
      </c>
      <c r="B69" t="s">
        <v>33</v>
      </c>
      <c r="C69">
        <v>1</v>
      </c>
      <c r="D69">
        <v>0.08</v>
      </c>
      <c r="H69">
        <v>0</v>
      </c>
      <c r="I69">
        <v>0.02</v>
      </c>
      <c r="J69">
        <v>1</v>
      </c>
      <c r="K69">
        <v>0.12</v>
      </c>
      <c r="L69">
        <v>0.1</v>
      </c>
      <c r="M69">
        <v>0</v>
      </c>
      <c r="N69">
        <v>0.15</v>
      </c>
      <c r="O69">
        <v>0.15</v>
      </c>
      <c r="S69">
        <v>1</v>
      </c>
      <c r="T69">
        <v>1</v>
      </c>
      <c r="U69">
        <v>0.1</v>
      </c>
      <c r="V69">
        <v>0</v>
      </c>
    </row>
    <row r="70" spans="1:24" x14ac:dyDescent="0.25">
      <c r="A70" t="s">
        <v>98</v>
      </c>
      <c r="B70" t="s">
        <v>33</v>
      </c>
      <c r="C70">
        <v>1</v>
      </c>
      <c r="D70">
        <v>0.08</v>
      </c>
      <c r="H70">
        <v>0</v>
      </c>
      <c r="I70">
        <v>0.02</v>
      </c>
      <c r="J70">
        <v>1</v>
      </c>
      <c r="K70">
        <v>0.12</v>
      </c>
      <c r="L70">
        <v>0.1</v>
      </c>
      <c r="M70">
        <v>1</v>
      </c>
      <c r="N70">
        <v>0.15</v>
      </c>
      <c r="O70">
        <v>0.15</v>
      </c>
      <c r="S70">
        <v>1</v>
      </c>
      <c r="T70">
        <v>1</v>
      </c>
      <c r="U70">
        <v>0.1</v>
      </c>
      <c r="V70">
        <v>0</v>
      </c>
    </row>
    <row r="71" spans="1:24" x14ac:dyDescent="0.25">
      <c r="A71" t="s">
        <v>99</v>
      </c>
      <c r="B71" t="s">
        <v>33</v>
      </c>
      <c r="C71">
        <v>0</v>
      </c>
      <c r="D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S71">
        <v>0</v>
      </c>
      <c r="T71">
        <v>0</v>
      </c>
      <c r="U71">
        <v>0</v>
      </c>
      <c r="V71">
        <v>0</v>
      </c>
    </row>
    <row r="72" spans="1:24" x14ac:dyDescent="0.25">
      <c r="A72" t="s">
        <v>100</v>
      </c>
      <c r="B72" t="s">
        <v>33</v>
      </c>
      <c r="C72">
        <v>0</v>
      </c>
      <c r="D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S72">
        <v>0</v>
      </c>
      <c r="T72">
        <v>0</v>
      </c>
      <c r="U72">
        <v>0</v>
      </c>
      <c r="V72">
        <v>0</v>
      </c>
    </row>
    <row r="73" spans="1:24" x14ac:dyDescent="0.25">
      <c r="A73" t="s">
        <v>101</v>
      </c>
      <c r="B73" t="s">
        <v>33</v>
      </c>
      <c r="C73">
        <v>0</v>
      </c>
      <c r="D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S73">
        <v>0</v>
      </c>
      <c r="T73">
        <v>0</v>
      </c>
      <c r="U73">
        <v>0</v>
      </c>
      <c r="V73">
        <v>0</v>
      </c>
    </row>
    <row r="74" spans="1:24" x14ac:dyDescent="0.25">
      <c r="A74" t="s">
        <v>102</v>
      </c>
      <c r="B74" t="s">
        <v>33</v>
      </c>
      <c r="C74">
        <v>0</v>
      </c>
      <c r="D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S74">
        <v>0</v>
      </c>
      <c r="T74">
        <v>0</v>
      </c>
      <c r="U74">
        <v>0</v>
      </c>
      <c r="V74">
        <v>0</v>
      </c>
    </row>
    <row r="75" spans="1:24" x14ac:dyDescent="0.25">
      <c r="A75" t="s">
        <v>103</v>
      </c>
      <c r="B75" t="s">
        <v>29</v>
      </c>
      <c r="E75">
        <v>0</v>
      </c>
      <c r="F75">
        <v>0</v>
      </c>
      <c r="G75">
        <v>0</v>
      </c>
      <c r="V75">
        <v>0</v>
      </c>
      <c r="X75">
        <v>0</v>
      </c>
    </row>
    <row r="76" spans="1:24" x14ac:dyDescent="0.25">
      <c r="A76" t="s">
        <v>104</v>
      </c>
      <c r="B76" t="s">
        <v>29</v>
      </c>
      <c r="E76">
        <v>0</v>
      </c>
      <c r="F76">
        <v>0</v>
      </c>
      <c r="G76">
        <v>0</v>
      </c>
      <c r="V76">
        <v>0</v>
      </c>
      <c r="X76">
        <v>0</v>
      </c>
    </row>
    <row r="77" spans="1:24" x14ac:dyDescent="0.25">
      <c r="A77" t="s">
        <v>105</v>
      </c>
      <c r="B77" t="s">
        <v>29</v>
      </c>
      <c r="E77">
        <v>0</v>
      </c>
      <c r="F77">
        <v>0</v>
      </c>
      <c r="G77">
        <v>0</v>
      </c>
      <c r="V77">
        <v>0</v>
      </c>
      <c r="X77">
        <v>0</v>
      </c>
    </row>
    <row r="78" spans="1:24" x14ac:dyDescent="0.25">
      <c r="A78" t="s">
        <v>106</v>
      </c>
      <c r="B78" t="s">
        <v>29</v>
      </c>
      <c r="E78">
        <v>0</v>
      </c>
      <c r="F78">
        <v>0</v>
      </c>
      <c r="G78">
        <v>0</v>
      </c>
      <c r="V78">
        <v>0</v>
      </c>
      <c r="X78">
        <v>0</v>
      </c>
    </row>
    <row r="79" spans="1:24" x14ac:dyDescent="0.25">
      <c r="A79" t="s">
        <v>107</v>
      </c>
      <c r="B79" t="s">
        <v>29</v>
      </c>
      <c r="E79">
        <v>0</v>
      </c>
      <c r="F79">
        <v>0</v>
      </c>
      <c r="G79">
        <v>0</v>
      </c>
      <c r="V79">
        <v>0</v>
      </c>
      <c r="X79">
        <v>0</v>
      </c>
    </row>
    <row r="80" spans="1:24" x14ac:dyDescent="0.25">
      <c r="A80" t="s">
        <v>108</v>
      </c>
      <c r="B80" t="s">
        <v>33</v>
      </c>
      <c r="C80">
        <v>0</v>
      </c>
      <c r="D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S80">
        <v>0</v>
      </c>
      <c r="T80">
        <v>0</v>
      </c>
      <c r="U80">
        <v>0</v>
      </c>
      <c r="V80">
        <v>0</v>
      </c>
    </row>
    <row r="81" spans="1:24" x14ac:dyDescent="0.25">
      <c r="A81" t="s">
        <v>109</v>
      </c>
      <c r="B81" t="s">
        <v>33</v>
      </c>
      <c r="C81">
        <v>1</v>
      </c>
      <c r="D81">
        <v>0.08</v>
      </c>
      <c r="H81">
        <v>0</v>
      </c>
      <c r="I81">
        <v>0.03</v>
      </c>
      <c r="J81">
        <v>1</v>
      </c>
      <c r="K81">
        <v>0.12</v>
      </c>
      <c r="L81">
        <v>0.1</v>
      </c>
      <c r="M81">
        <v>1</v>
      </c>
      <c r="N81">
        <v>0.1</v>
      </c>
      <c r="O81">
        <v>0.1</v>
      </c>
      <c r="S81">
        <v>0</v>
      </c>
      <c r="T81">
        <v>1</v>
      </c>
      <c r="U81">
        <v>0.05</v>
      </c>
      <c r="V81">
        <v>0</v>
      </c>
    </row>
    <row r="82" spans="1:24" x14ac:dyDescent="0.25">
      <c r="A82" t="s">
        <v>110</v>
      </c>
      <c r="B82" t="s">
        <v>29</v>
      </c>
      <c r="E82">
        <v>0</v>
      </c>
      <c r="F82">
        <v>0</v>
      </c>
      <c r="G82">
        <v>0</v>
      </c>
      <c r="V82">
        <v>0</v>
      </c>
      <c r="X82">
        <v>0</v>
      </c>
    </row>
    <row r="83" spans="1:24" x14ac:dyDescent="0.25">
      <c r="A83" t="s">
        <v>111</v>
      </c>
      <c r="B83" t="s">
        <v>29</v>
      </c>
      <c r="E83">
        <v>0</v>
      </c>
      <c r="F83">
        <v>0</v>
      </c>
      <c r="G83">
        <v>0</v>
      </c>
      <c r="V83">
        <v>0</v>
      </c>
      <c r="X83">
        <v>0</v>
      </c>
    </row>
    <row r="84" spans="1:24" x14ac:dyDescent="0.25">
      <c r="A84" t="s">
        <v>112</v>
      </c>
      <c r="B84" t="s">
        <v>29</v>
      </c>
      <c r="E84">
        <v>0</v>
      </c>
      <c r="F84">
        <v>0</v>
      </c>
      <c r="G84">
        <v>0</v>
      </c>
      <c r="V84">
        <v>0</v>
      </c>
      <c r="X84">
        <v>0</v>
      </c>
    </row>
    <row r="85" spans="1:24" x14ac:dyDescent="0.25">
      <c r="A85" t="s">
        <v>113</v>
      </c>
      <c r="B85" t="s">
        <v>29</v>
      </c>
      <c r="E85">
        <v>0</v>
      </c>
      <c r="F85">
        <v>0</v>
      </c>
      <c r="G85">
        <v>0</v>
      </c>
      <c r="V85">
        <v>0</v>
      </c>
      <c r="X85">
        <v>0</v>
      </c>
    </row>
    <row r="86" spans="1:24" x14ac:dyDescent="0.25">
      <c r="A86" t="s">
        <v>114</v>
      </c>
      <c r="B86" t="s">
        <v>29</v>
      </c>
      <c r="E86">
        <v>0</v>
      </c>
      <c r="F86">
        <v>0</v>
      </c>
      <c r="G86">
        <v>0</v>
      </c>
      <c r="V86">
        <v>0</v>
      </c>
      <c r="X86">
        <v>0</v>
      </c>
    </row>
    <row r="87" spans="1:24" x14ac:dyDescent="0.25">
      <c r="A87" t="s">
        <v>115</v>
      </c>
      <c r="B87" t="s">
        <v>33</v>
      </c>
      <c r="C87">
        <v>1</v>
      </c>
      <c r="D87">
        <v>0.08</v>
      </c>
      <c r="H87">
        <v>0</v>
      </c>
      <c r="I87">
        <v>0.03</v>
      </c>
      <c r="J87">
        <v>1</v>
      </c>
      <c r="K87">
        <v>0.12</v>
      </c>
      <c r="L87">
        <v>0.1</v>
      </c>
      <c r="M87">
        <v>1</v>
      </c>
      <c r="N87">
        <v>0.1</v>
      </c>
      <c r="O87">
        <v>0.1</v>
      </c>
      <c r="S87">
        <v>0</v>
      </c>
      <c r="T87">
        <v>1</v>
      </c>
      <c r="U87">
        <v>0.05</v>
      </c>
      <c r="V87">
        <v>0</v>
      </c>
    </row>
    <row r="88" spans="1:24" x14ac:dyDescent="0.25">
      <c r="A88" t="s">
        <v>116</v>
      </c>
      <c r="B88" t="s">
        <v>117</v>
      </c>
      <c r="E88">
        <v>0</v>
      </c>
      <c r="F88">
        <v>0</v>
      </c>
      <c r="G88">
        <v>0</v>
      </c>
      <c r="V88">
        <v>0</v>
      </c>
      <c r="X88">
        <v>0</v>
      </c>
    </row>
    <row r="89" spans="1:24" x14ac:dyDescent="0.25">
      <c r="A89" t="s">
        <v>118</v>
      </c>
      <c r="B89" t="s">
        <v>33</v>
      </c>
      <c r="C89">
        <v>0</v>
      </c>
      <c r="D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S89">
        <v>0</v>
      </c>
      <c r="T89">
        <v>0</v>
      </c>
      <c r="U89">
        <v>0</v>
      </c>
      <c r="V89">
        <v>0</v>
      </c>
    </row>
    <row r="90" spans="1:24" x14ac:dyDescent="0.25">
      <c r="A90" t="s">
        <v>119</v>
      </c>
      <c r="B90" t="s">
        <v>33</v>
      </c>
      <c r="C90">
        <v>0</v>
      </c>
      <c r="D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S90">
        <v>0</v>
      </c>
      <c r="T90">
        <v>0</v>
      </c>
      <c r="U90">
        <v>0</v>
      </c>
      <c r="V90">
        <v>0</v>
      </c>
    </row>
    <row r="91" spans="1:24" x14ac:dyDescent="0.25">
      <c r="A91" t="s">
        <v>120</v>
      </c>
      <c r="B91" t="s">
        <v>33</v>
      </c>
      <c r="C91">
        <v>0</v>
      </c>
      <c r="D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S91">
        <v>0</v>
      </c>
      <c r="T91">
        <v>0</v>
      </c>
      <c r="U91">
        <v>0</v>
      </c>
      <c r="V91">
        <v>0</v>
      </c>
    </row>
    <row r="92" spans="1:24" x14ac:dyDescent="0.25">
      <c r="A92" t="s">
        <v>121</v>
      </c>
      <c r="B92" t="s">
        <v>33</v>
      </c>
      <c r="C92">
        <v>0</v>
      </c>
      <c r="D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S92">
        <v>0</v>
      </c>
      <c r="T92">
        <v>0</v>
      </c>
      <c r="U92">
        <v>0</v>
      </c>
      <c r="V92">
        <v>0</v>
      </c>
    </row>
    <row r="93" spans="1:24" x14ac:dyDescent="0.25">
      <c r="A93" t="s">
        <v>122</v>
      </c>
      <c r="B93" t="s">
        <v>33</v>
      </c>
      <c r="C93">
        <v>0</v>
      </c>
      <c r="D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S93">
        <v>0</v>
      </c>
      <c r="T93">
        <v>0</v>
      </c>
      <c r="U93">
        <v>0</v>
      </c>
      <c r="V93">
        <v>0</v>
      </c>
    </row>
    <row r="94" spans="1:24" x14ac:dyDescent="0.25">
      <c r="A94" t="s">
        <v>123</v>
      </c>
      <c r="B94" t="s">
        <v>33</v>
      </c>
      <c r="C94">
        <v>0</v>
      </c>
      <c r="D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S94">
        <v>0</v>
      </c>
      <c r="T94">
        <v>0</v>
      </c>
      <c r="U94">
        <v>0</v>
      </c>
      <c r="V94">
        <v>0</v>
      </c>
    </row>
    <row r="95" spans="1:24" x14ac:dyDescent="0.25">
      <c r="A95" t="s">
        <v>124</v>
      </c>
      <c r="B95" t="s">
        <v>33</v>
      </c>
      <c r="C95">
        <v>0</v>
      </c>
      <c r="D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S95">
        <v>0</v>
      </c>
      <c r="T95">
        <v>0</v>
      </c>
      <c r="U95">
        <v>0</v>
      </c>
      <c r="V95">
        <v>0</v>
      </c>
    </row>
    <row r="96" spans="1:24" x14ac:dyDescent="0.25">
      <c r="A96" t="s">
        <v>125</v>
      </c>
      <c r="B96" t="s">
        <v>29</v>
      </c>
      <c r="E96">
        <v>0</v>
      </c>
      <c r="F96">
        <v>0</v>
      </c>
      <c r="G96">
        <v>0</v>
      </c>
      <c r="V96">
        <v>0</v>
      </c>
      <c r="X96">
        <v>0</v>
      </c>
    </row>
    <row r="97" spans="1:24" x14ac:dyDescent="0.25">
      <c r="A97" t="s">
        <v>126</v>
      </c>
      <c r="B97" t="s">
        <v>29</v>
      </c>
      <c r="E97">
        <v>0</v>
      </c>
      <c r="F97">
        <v>0</v>
      </c>
      <c r="G97">
        <v>0</v>
      </c>
      <c r="V97">
        <v>0</v>
      </c>
      <c r="X97">
        <v>0</v>
      </c>
    </row>
    <row r="98" spans="1:24" x14ac:dyDescent="0.25">
      <c r="A98" t="s">
        <v>127</v>
      </c>
      <c r="B98" t="s">
        <v>50</v>
      </c>
      <c r="C98">
        <v>0</v>
      </c>
      <c r="D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T98">
        <v>0</v>
      </c>
      <c r="U98">
        <v>0</v>
      </c>
      <c r="V98">
        <v>0</v>
      </c>
      <c r="W98">
        <v>0</v>
      </c>
    </row>
    <row r="99" spans="1:24" x14ac:dyDescent="0.25">
      <c r="A99" t="s">
        <v>128</v>
      </c>
      <c r="B99" t="s">
        <v>29</v>
      </c>
      <c r="E99">
        <v>0</v>
      </c>
      <c r="F99">
        <v>0</v>
      </c>
      <c r="G99">
        <v>0</v>
      </c>
      <c r="V99">
        <v>0</v>
      </c>
      <c r="X99">
        <v>0</v>
      </c>
    </row>
    <row r="100" spans="1:24" x14ac:dyDescent="0.25">
      <c r="A100" t="s">
        <v>129</v>
      </c>
      <c r="B100" t="s">
        <v>29</v>
      </c>
      <c r="E100">
        <v>0</v>
      </c>
      <c r="F100">
        <v>0</v>
      </c>
      <c r="G100">
        <v>0</v>
      </c>
      <c r="V100">
        <v>0</v>
      </c>
      <c r="X100">
        <v>0</v>
      </c>
    </row>
    <row r="101" spans="1:24" x14ac:dyDescent="0.25">
      <c r="A101" t="s">
        <v>130</v>
      </c>
      <c r="B101" t="s">
        <v>29</v>
      </c>
      <c r="E101">
        <v>0</v>
      </c>
      <c r="F101">
        <v>0</v>
      </c>
      <c r="G101">
        <v>0</v>
      </c>
      <c r="V101">
        <v>0</v>
      </c>
      <c r="X101">
        <v>0</v>
      </c>
    </row>
    <row r="102" spans="1:24" x14ac:dyDescent="0.25">
      <c r="A102" t="s">
        <v>131</v>
      </c>
      <c r="B102" t="s">
        <v>33</v>
      </c>
      <c r="C102">
        <v>0</v>
      </c>
      <c r="D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S102">
        <v>0</v>
      </c>
      <c r="T102">
        <v>0</v>
      </c>
      <c r="U102">
        <v>0</v>
      </c>
      <c r="V102">
        <v>0</v>
      </c>
    </row>
    <row r="103" spans="1:24" x14ac:dyDescent="0.25">
      <c r="A103" t="s">
        <v>132</v>
      </c>
      <c r="B103" t="s">
        <v>33</v>
      </c>
      <c r="C103">
        <v>0</v>
      </c>
      <c r="D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S103">
        <v>0</v>
      </c>
      <c r="T103">
        <v>0</v>
      </c>
      <c r="U103">
        <v>0</v>
      </c>
      <c r="V103">
        <v>0</v>
      </c>
    </row>
    <row r="104" spans="1:24" x14ac:dyDescent="0.25">
      <c r="A104" t="s">
        <v>133</v>
      </c>
      <c r="B104" t="s">
        <v>33</v>
      </c>
      <c r="C104">
        <v>0</v>
      </c>
      <c r="D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S104">
        <v>0</v>
      </c>
      <c r="T104">
        <v>0</v>
      </c>
      <c r="U104">
        <v>0</v>
      </c>
      <c r="V104">
        <v>0</v>
      </c>
    </row>
    <row r="105" spans="1:24" x14ac:dyDescent="0.25">
      <c r="A105" t="s">
        <v>134</v>
      </c>
      <c r="B105" t="s">
        <v>33</v>
      </c>
      <c r="C105">
        <v>0</v>
      </c>
      <c r="D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S105">
        <v>0</v>
      </c>
      <c r="T105">
        <v>0</v>
      </c>
      <c r="U105">
        <v>0</v>
      </c>
      <c r="V105">
        <v>0</v>
      </c>
    </row>
    <row r="106" spans="1:24" x14ac:dyDescent="0.25">
      <c r="A106" t="s">
        <v>135</v>
      </c>
      <c r="B106" t="s">
        <v>33</v>
      </c>
      <c r="C106">
        <v>0</v>
      </c>
      <c r="D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S106">
        <v>0</v>
      </c>
      <c r="T106">
        <v>0</v>
      </c>
      <c r="U106">
        <v>0</v>
      </c>
      <c r="V106">
        <v>0</v>
      </c>
    </row>
    <row r="107" spans="1:24" x14ac:dyDescent="0.25">
      <c r="A107" t="s">
        <v>136</v>
      </c>
      <c r="B107" t="s">
        <v>33</v>
      </c>
      <c r="C107">
        <v>0</v>
      </c>
      <c r="D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S107">
        <v>0</v>
      </c>
      <c r="T107">
        <v>0</v>
      </c>
      <c r="U107">
        <v>0</v>
      </c>
      <c r="V107">
        <v>0</v>
      </c>
    </row>
    <row r="108" spans="1:24" x14ac:dyDescent="0.25">
      <c r="A108" t="s">
        <v>137</v>
      </c>
      <c r="B108" t="s">
        <v>33</v>
      </c>
      <c r="C108">
        <v>0</v>
      </c>
      <c r="D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S108">
        <v>0</v>
      </c>
      <c r="T108">
        <v>0</v>
      </c>
      <c r="U108">
        <v>0</v>
      </c>
      <c r="V108">
        <v>0</v>
      </c>
    </row>
    <row r="109" spans="1:24" x14ac:dyDescent="0.25">
      <c r="A109" t="s">
        <v>138</v>
      </c>
      <c r="B109" t="s">
        <v>33</v>
      </c>
      <c r="C109">
        <v>0</v>
      </c>
      <c r="D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S109">
        <v>0</v>
      </c>
      <c r="T109">
        <v>0</v>
      </c>
      <c r="U109">
        <v>0</v>
      </c>
      <c r="V109">
        <v>0</v>
      </c>
    </row>
    <row r="110" spans="1:24" x14ac:dyDescent="0.25">
      <c r="A110" t="s">
        <v>139</v>
      </c>
      <c r="B110" t="s">
        <v>33</v>
      </c>
      <c r="C110">
        <v>0</v>
      </c>
      <c r="D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S110">
        <v>0</v>
      </c>
      <c r="T110">
        <v>0</v>
      </c>
      <c r="U110">
        <v>0</v>
      </c>
      <c r="V110">
        <v>0</v>
      </c>
    </row>
    <row r="111" spans="1:24" x14ac:dyDescent="0.25">
      <c r="A111" t="s">
        <v>140</v>
      </c>
      <c r="B111" t="s">
        <v>33</v>
      </c>
      <c r="C111">
        <v>0</v>
      </c>
      <c r="D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S111">
        <v>0</v>
      </c>
      <c r="T111">
        <v>0</v>
      </c>
      <c r="U111">
        <v>0</v>
      </c>
      <c r="V111">
        <v>0</v>
      </c>
    </row>
    <row r="112" spans="1:24" x14ac:dyDescent="0.25">
      <c r="A112" t="s">
        <v>141</v>
      </c>
      <c r="B112" t="s">
        <v>33</v>
      </c>
      <c r="C112">
        <v>0</v>
      </c>
      <c r="D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S112">
        <v>0</v>
      </c>
      <c r="T112">
        <v>0</v>
      </c>
      <c r="U112">
        <v>0</v>
      </c>
      <c r="V112">
        <v>0</v>
      </c>
    </row>
    <row r="113" spans="1:24" x14ac:dyDescent="0.25">
      <c r="A113" t="s">
        <v>142</v>
      </c>
      <c r="B113" t="s">
        <v>29</v>
      </c>
      <c r="E113">
        <v>0</v>
      </c>
      <c r="F113">
        <v>0</v>
      </c>
      <c r="G113">
        <v>0</v>
      </c>
      <c r="V113">
        <v>0</v>
      </c>
      <c r="X113">
        <v>0</v>
      </c>
    </row>
    <row r="114" spans="1:24" x14ac:dyDescent="0.25">
      <c r="A114" t="s">
        <v>143</v>
      </c>
      <c r="B114" t="s">
        <v>33</v>
      </c>
      <c r="C114">
        <v>0</v>
      </c>
      <c r="D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S114">
        <v>0</v>
      </c>
      <c r="T114">
        <v>0</v>
      </c>
      <c r="U114">
        <v>0</v>
      </c>
      <c r="V114">
        <v>0</v>
      </c>
    </row>
    <row r="115" spans="1:24" x14ac:dyDescent="0.25">
      <c r="A115" t="s">
        <v>144</v>
      </c>
      <c r="B115" t="s">
        <v>33</v>
      </c>
      <c r="C115">
        <v>0</v>
      </c>
      <c r="D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S115">
        <v>0</v>
      </c>
      <c r="T115">
        <v>0</v>
      </c>
      <c r="U115">
        <v>0</v>
      </c>
      <c r="V115">
        <v>0</v>
      </c>
    </row>
    <row r="116" spans="1:24" x14ac:dyDescent="0.25">
      <c r="A116" t="s">
        <v>145</v>
      </c>
      <c r="B116" t="s">
        <v>117</v>
      </c>
      <c r="E116">
        <v>0</v>
      </c>
      <c r="F116">
        <v>0</v>
      </c>
      <c r="G116">
        <v>0</v>
      </c>
      <c r="V116">
        <v>0</v>
      </c>
      <c r="X116">
        <v>0</v>
      </c>
    </row>
    <row r="117" spans="1:24" x14ac:dyDescent="0.25">
      <c r="A117" t="s">
        <v>146</v>
      </c>
      <c r="B117" t="s">
        <v>33</v>
      </c>
      <c r="C117">
        <v>0</v>
      </c>
      <c r="D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S117">
        <v>0</v>
      </c>
      <c r="T117">
        <v>0</v>
      </c>
      <c r="U117">
        <v>0</v>
      </c>
      <c r="V117">
        <v>0</v>
      </c>
    </row>
    <row r="118" spans="1:24" x14ac:dyDescent="0.25">
      <c r="A118" t="s">
        <v>147</v>
      </c>
      <c r="B118" t="s">
        <v>33</v>
      </c>
      <c r="C118">
        <v>0</v>
      </c>
      <c r="D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S118">
        <v>0</v>
      </c>
      <c r="T118">
        <v>0</v>
      </c>
      <c r="U118">
        <v>0</v>
      </c>
      <c r="V118">
        <v>0</v>
      </c>
    </row>
    <row r="119" spans="1:24" x14ac:dyDescent="0.25">
      <c r="A119" t="s">
        <v>148</v>
      </c>
      <c r="B119" t="s">
        <v>50</v>
      </c>
      <c r="C119">
        <v>0</v>
      </c>
      <c r="D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T119">
        <v>0</v>
      </c>
      <c r="U119">
        <v>0</v>
      </c>
      <c r="V119">
        <v>0</v>
      </c>
      <c r="W119">
        <v>0</v>
      </c>
    </row>
    <row r="120" spans="1:24" x14ac:dyDescent="0.25">
      <c r="A120" t="s">
        <v>149</v>
      </c>
      <c r="B120" t="s">
        <v>33</v>
      </c>
      <c r="C120">
        <v>0</v>
      </c>
      <c r="D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S120">
        <v>0</v>
      </c>
      <c r="T120">
        <v>0</v>
      </c>
      <c r="U120">
        <v>0</v>
      </c>
      <c r="V1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11</vt:i4>
      </vt:variant>
    </vt:vector>
  </HeadingPairs>
  <TitlesOfParts>
    <vt:vector size="18" baseType="lpstr">
      <vt:lpstr>QUERIES</vt:lpstr>
      <vt:lpstr>ELEMENTS</vt:lpstr>
      <vt:lpstr>CONSTRAINTS</vt:lpstr>
      <vt:lpstr>SETTINGS</vt:lpstr>
      <vt:lpstr>SETTINGS_AVAILABILITY</vt:lpstr>
      <vt:lpstr>QUERIES_Dynamo</vt:lpstr>
      <vt:lpstr>ELEMENTS_Dynamo</vt:lpstr>
      <vt:lpstr>Attic_IsAccessible</vt:lpstr>
      <vt:lpstr>Attic_IsWalkable</vt:lpstr>
      <vt:lpstr>Bonding</vt:lpstr>
      <vt:lpstr>Copertura_estradosso_solaio</vt:lpstr>
      <vt:lpstr>Demolition</vt:lpstr>
      <vt:lpstr>Element</vt:lpstr>
      <vt:lpstr>Infill</vt:lpstr>
      <vt:lpstr>Leaning</vt:lpstr>
      <vt:lpstr>Perforation_Position</vt:lpstr>
      <vt:lpstr>SurfCov_Level</vt:lpstr>
      <vt:lpstr>ThroughHole_Position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Scarpa</dc:creator>
  <cp:lastModifiedBy>Luca Fontanella</cp:lastModifiedBy>
  <cp:lastPrinted>2025-10-29T22:37:14Z</cp:lastPrinted>
  <dcterms:created xsi:type="dcterms:W3CDTF">2025-09-22T13:23:59Z</dcterms:created>
  <dcterms:modified xsi:type="dcterms:W3CDTF">2026-05-21T13:43:37Z</dcterms:modified>
</cp:coreProperties>
</file>